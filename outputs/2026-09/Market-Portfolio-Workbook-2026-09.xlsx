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Holdings" sheetId="2" r:id="rId2"/>
    <sheet name="Returns" sheetId="3" r:id="rId3"/>
    <sheet name="Contributions" sheetId="4" r:id="rId4"/>
    <sheet name="Assumptions" sheetId="5" r:id="rId5"/>
    <sheet name="Sources" sheetId="6" r:id="rId6"/>
  </sheets>
  <definedNames>
    <definedName name="_xlnm._FilterDatabase" localSheetId="4" hidden="1">Assumptions!$A$4:$D$15</definedName>
    <definedName name="_xlnm._FilterDatabase" localSheetId="3" hidden="1">Contributions!$A$4:$H$11</definedName>
    <definedName name="_xlnm._FilterDatabase" localSheetId="1" hidden="1">Holdings!$A$4:$N$11</definedName>
    <definedName name="_xlnm._FilterDatabase" localSheetId="0" hidden="1">Overview!$A$10:$F$14</definedName>
    <definedName name="_xlnm._FilterDatabase" localSheetId="2" hidden="1">Returns!$K$4:$AL$26</definedName>
    <definedName name="_xlnm._FilterDatabase" localSheetId="5" hidden="1">Sources!$A$4:$I$27</definedName>
    <definedName name="Class_Band">Assumptions!$B$11</definedName>
    <definedName name="Cost_bps">Assumptions!$B$13</definedName>
    <definedName name="Eq_Target">Assumptions!$B$9</definedName>
    <definedName name="FI_Target">Assumptions!$B$10</definedName>
    <definedName name="Hold_Band">Assumptions!$B$12</definedName>
    <definedName name="Start_Value">Assumptions!$B$8</definedName>
    <definedName name="Tol">Assumptions!$B$14</definedName>
  </definedNames>
  <calcPr calcId="124519" fullCalcOnLoad="1"/>
</workbook>
</file>

<file path=xl/sharedStrings.xml><?xml version="1.0" encoding="utf-8"?>
<sst xmlns="http://schemas.openxmlformats.org/spreadsheetml/2006/main" count="454" uniqueCount="322">
  <si>
    <t>Assumptions and inputs</t>
  </si>
  <si>
    <t>Independent educational research sample. Hypothetical portfolio. Blue cells are inputs; every other number in the workbook is calculated from them.</t>
  </si>
  <si>
    <t>Parameter</t>
  </si>
  <si>
    <t>Value</t>
  </si>
  <si>
    <t>Unit</t>
  </si>
  <si>
    <t>Note</t>
  </si>
  <si>
    <t>Edition</t>
  </si>
  <si>
    <t>September 2026</t>
  </si>
  <si>
    <t>Monthly edition; information cut off at the close of the as-of date.</t>
  </si>
  <si>
    <t>Start date (prior month-end close)</t>
  </si>
  <si>
    <t>date</t>
  </si>
  <si>
    <t>Beginning prices and weights.</t>
  </si>
  <si>
    <t>As-of date (cutoff close)</t>
  </si>
  <si>
    <t>Last observation used. Nothing after this date is used.</t>
  </si>
  <si>
    <t>Currency</t>
  </si>
  <si>
    <t>CAD</t>
  </si>
  <si>
    <t>All ETF proxies are CAD-listed, so returns are already in CAD.</t>
  </si>
  <si>
    <t>Starting portfolio value</t>
  </si>
  <si>
    <t>Hypothetical. First edition starts at C$100,000; later editions carry the prior ending value.</t>
  </si>
  <si>
    <t>Equity target weight</t>
  </si>
  <si>
    <t>weight</t>
  </si>
  <si>
    <t>Strategic target.</t>
  </si>
  <si>
    <t>Fixed-income target weight</t>
  </si>
  <si>
    <t>Equals 1 minus the equity target.</t>
  </si>
  <si>
    <t>Asset-class drift band</t>
  </si>
  <si>
    <t>pp</t>
  </si>
  <si>
    <t>Rebalance if any sleeve is further than this from target at month-end.</t>
  </si>
  <si>
    <t>Holding drift band</t>
  </si>
  <si>
    <t>Rebalance if any holding is further than this from target at month-end.</t>
  </si>
  <si>
    <t>Transaction cost</t>
  </si>
  <si>
    <t>bps</t>
  </si>
  <si>
    <t>One-way cost applied to an illustrative reset. Zero: month returns exclude trading costs.</t>
  </si>
  <si>
    <t>Reconciliation tolerance</t>
  </si>
  <si>
    <t>fraction</t>
  </si>
  <si>
    <t>Maximum allowed gap between summed contributions and the daily portfolio path.</t>
  </si>
  <si>
    <t>Method notes</t>
  </si>
  <si>
    <t>Return definition</t>
  </si>
  <si>
    <t>Total return from daily closes with distributions reinvested at the ex-date close. Price return (no distributions) is shown beside it. No withholding or income tax.</t>
  </si>
  <si>
    <t>Fees and costs</t>
  </si>
  <si>
    <t>ETF prices are net of each fund's management expenses. Trading costs and taxes are excluded; the transaction-cost input above only prices an illustrative reset.</t>
  </si>
  <si>
    <t>XUU, XEF and XEC are CAD-listed and unhedged, so foreign-currency moves are already in their CAD returns; XHY is CAD-hedged. Bank of Canada USD/CAD is a daily average rate and is used only for commentary.</t>
  </si>
  <si>
    <t>ETF proxies</t>
  </si>
  <si>
    <t>Seven liquid iShares ETFs stand in for asset-class exposures. The benchmark is a different issuer's 60/40 balanced fund, VBAL, which also reports net of fees.</t>
  </si>
  <si>
    <t>Weights and contributions</t>
  </si>
  <si>
    <t>Contribution = beginning weight x total return, in percentage points of portfolio return. It is a contribution table, not formal performance attribution.</t>
  </si>
  <si>
    <t>Rebalancing convention</t>
  </si>
  <si>
    <t>Threshold review at each month-end close. If any asset-class weight is more than 2.0 pp from target, or any holding more than 1.5 pp from target, the portfolio is assumed rebalanced to target at that close. Otherwise the drifted weights carry into the next month. The first edition starts at target on the inception date.</t>
  </si>
  <si>
    <t>Data quality</t>
  </si>
  <si>
    <t>No missing or stale observation is filled. USD/CAD (daily average): end value is the Sep 29 observation (no publication on Sep 30). Canada 2-year yield: end value is the Sep 29 observation (no publication on Sep 30). Canada 10-year yield: end value is the Sep 29 observation (no publication on Sep 30).</t>
  </si>
  <si>
    <t>Carry-forward</t>
  </si>
  <si>
    <t>prior month-end drifted weights, as the prior decision was Maintain.</t>
  </si>
  <si>
    <t>Returns</t>
  </si>
  <si>
    <t>Independent educational research sample. Daily closes and ex-date distributions (blue) come from the saved snapshots; total-return indexes and returns are formulas.</t>
  </si>
  <si>
    <t>Date</t>
  </si>
  <si>
    <t>XIC close</t>
  </si>
  <si>
    <t>XIC distribution</t>
  </si>
  <si>
    <t>XIC total-return index</t>
  </si>
  <si>
    <t>XUU close</t>
  </si>
  <si>
    <t>XUU distribution</t>
  </si>
  <si>
    <t>XUU total-return index</t>
  </si>
  <si>
    <t>XEF close</t>
  </si>
  <si>
    <t>XEF distribution</t>
  </si>
  <si>
    <t>XEF total-return index</t>
  </si>
  <si>
    <t>XEC close</t>
  </si>
  <si>
    <t>XEC distribution</t>
  </si>
  <si>
    <t>XEC total-return index</t>
  </si>
  <si>
    <t>XBB close</t>
  </si>
  <si>
    <t>XBB distribution</t>
  </si>
  <si>
    <t>XBB total-return index</t>
  </si>
  <si>
    <t>XSB close</t>
  </si>
  <si>
    <t>XSB distribution</t>
  </si>
  <si>
    <t>XSB total-return index</t>
  </si>
  <si>
    <t>XHY close</t>
  </si>
  <si>
    <t>XHY distribution</t>
  </si>
  <si>
    <t>XHY total-return index</t>
  </si>
  <si>
    <t>VBAL close</t>
  </si>
  <si>
    <t>VBAL distribution</t>
  </si>
  <si>
    <t>VBAL total-return index</t>
  </si>
  <si>
    <t>Portfolio cumulative return</t>
  </si>
  <si>
    <t>Benchmark cumulative return</t>
  </si>
  <si>
    <t>Active (portfolio - benchmark)</t>
  </si>
  <si>
    <t>Series</t>
  </si>
  <si>
    <t>Start close</t>
  </si>
  <si>
    <t>End close</t>
  </si>
  <si>
    <t>Distributions in month</t>
  </si>
  <si>
    <t>Price return</t>
  </si>
  <si>
    <t>Total return</t>
  </si>
  <si>
    <t>XIC  Canadian equity</t>
  </si>
  <si>
    <t>XUU  US equity</t>
  </si>
  <si>
    <t>XEF  Intl developed equity</t>
  </si>
  <si>
    <t>XEC  Emerging markets equity</t>
  </si>
  <si>
    <t>XBB  Canadian aggregate bonds</t>
  </si>
  <si>
    <t>XSB  Canadian short-term bonds</t>
  </si>
  <si>
    <t>XHY  US high-yield bonds</t>
  </si>
  <si>
    <t>VBAL  benchmark</t>
  </si>
  <si>
    <t>Hypothetical portfolio (sum of contributions)</t>
  </si>
  <si>
    <t>Active return, portfolio minus benchmark (pp)</t>
  </si>
  <si>
    <t>Chart-ready: the daily table at right (Date, Portfolio and Benchmark cumulative return) feeds the Overview line chart. Distributions are zero on the start date because they belong to the prior edition.</t>
  </si>
  <si>
    <t>Holdings and weights</t>
  </si>
  <si>
    <t>Independent educational research sample. Hypothetical portfolio. Blue = input weights; returns link to the Returns sheet.</t>
  </si>
  <si>
    <t>Ticker</t>
  </si>
  <si>
    <t>Fund</t>
  </si>
  <si>
    <t>Asset class</t>
  </si>
  <si>
    <t>Exposure</t>
  </si>
  <si>
    <t>Target weight</t>
  </si>
  <si>
    <t>Start weight</t>
  </si>
  <si>
    <t>Start value (CAD)</t>
  </si>
  <si>
    <t>End value (CAD)</t>
  </si>
  <si>
    <t>End weight</t>
  </si>
  <si>
    <t>Drift vs target</t>
  </si>
  <si>
    <t>Trade to target if reset</t>
  </si>
  <si>
    <t>Rationale</t>
  </si>
  <si>
    <t>XIC</t>
  </si>
  <si>
    <t>iShares Core S&amp;P/TSX Capped Composite Index ETF</t>
  </si>
  <si>
    <t>Equity</t>
  </si>
  <si>
    <t>Canada</t>
  </si>
  <si>
    <t>Domestic core: broad Canadian large, mid and small caps with no currency translation.</t>
  </si>
  <si>
    <t>XUU</t>
  </si>
  <si>
    <t>iShares Core S&amp;P U.S. Total Market Index ETF</t>
  </si>
  <si>
    <t>United States (USD, unhedged)</t>
  </si>
  <si>
    <t>Largest equity market; unhedged so USD exposure diversifies Canadian-dollar risk.</t>
  </si>
  <si>
    <t>XEF</t>
  </si>
  <si>
    <t>iShares Core MSCI EAFE IMI Index ETF</t>
  </si>
  <si>
    <t>Developed ex-North America (unhedged)</t>
  </si>
  <si>
    <t>Europe, Australasia and Far East exposure that is not tied to the North American cycle.</t>
  </si>
  <si>
    <t>XEC</t>
  </si>
  <si>
    <t>iShares Core MSCI Emerging Markets IMI Index ETF</t>
  </si>
  <si>
    <t>Emerging markets (unhedged)</t>
  </si>
  <si>
    <t>Small strategic allocation to faster-growing, higher-volatility economies.</t>
  </si>
  <si>
    <t>XBB</t>
  </si>
  <si>
    <t>iShares Core Canadian Universe Bond Index ETF</t>
  </si>
  <si>
    <t>Fixed income</t>
  </si>
  <si>
    <t>Canada, investment grade (CAD)</t>
  </si>
  <si>
    <t>Core fixed income: government and investment-grade corporate bonds across maturities.</t>
  </si>
  <si>
    <t>XSB</t>
  </si>
  <si>
    <t>iShares Core Canadian Short Term Bond Index ETF</t>
  </si>
  <si>
    <t>Canada, short maturities (CAD)</t>
  </si>
  <si>
    <t>Lower interest-rate sensitivity and a liquidity reserve inside the bond sleeve.</t>
  </si>
  <si>
    <t>XHY</t>
  </si>
  <si>
    <t>iShares U.S. High Yield Bond Index ETF (CAD-Hedged)</t>
  </si>
  <si>
    <t>US high-yield credit (CAD-hedged)</t>
  </si>
  <si>
    <t>Small credit-risk income allocation; currency hedged so returns are not driven by USD/CAD.</t>
  </si>
  <si>
    <t>Equity sleeve</t>
  </si>
  <si>
    <t>Fixed-income sleeve</t>
  </si>
  <si>
    <t>Hypothetical portfolio</t>
  </si>
  <si>
    <t>Check: target, start and end weights each sum to 100%</t>
  </si>
  <si>
    <t>Benchmark</t>
  </si>
  <si>
    <t>VBAL</t>
  </si>
  <si>
    <t>Vanguard Balanced ETF Portfolio</t>
  </si>
  <si>
    <t>Balanced</t>
  </si>
  <si>
    <t>60/40 global balanced fund of index ETFs (CAD)</t>
  </si>
  <si>
    <t>A different issuer's 60/40 global balanced fund of index ETFs, priced in CAD. It shares the portfolio's 60/40 risk budget but not its holdings or regional weights, so the comparison shows the effect of allocation choices.</t>
  </si>
  <si>
    <t>Month-end maintain or rebalance test (illustrative)</t>
  </si>
  <si>
    <t>Largest sleeve drift (pp)</t>
  </si>
  <si>
    <t>Largest holding drift (pp)</t>
  </si>
  <si>
    <t>Decision</t>
  </si>
  <si>
    <t>One-way turnover if reset to target</t>
  </si>
  <si>
    <t>Illustrative reset cost at assumed bps (CAD)</t>
  </si>
  <si>
    <t>Contribution to return</t>
  </si>
  <si>
    <t>Contribution = beginning weight x total return, in percentage points of portfolio return. Not formal performance attribution.</t>
  </si>
  <si>
    <t>Contribution (pp)</t>
  </si>
  <si>
    <t>Share of portfolio return (signed)</t>
  </si>
  <si>
    <t>Reconciliation</t>
  </si>
  <si>
    <t>Sum of contributions</t>
  </si>
  <si>
    <t>Portfolio return from daily path</t>
  </si>
  <si>
    <t>Absolute difference</t>
  </si>
  <si>
    <t>Tolerance</t>
  </si>
  <si>
    <t>Status</t>
  </si>
  <si>
    <t>Allocation drift by sleeve</t>
  </si>
  <si>
    <t>Sleeve</t>
  </si>
  <si>
    <t>Target</t>
  </si>
  <si>
    <t>Start</t>
  </si>
  <si>
    <t>End</t>
  </si>
  <si>
    <t>Drift (pp)</t>
  </si>
  <si>
    <t>Band (pp)</t>
  </si>
  <si>
    <t>Within band</t>
  </si>
  <si>
    <t>Chart-ready: contribution by holding (pp), in holdings order</t>
  </si>
  <si>
    <t>Market &amp; Portfolio Report workbook: September 2026</t>
  </si>
  <si>
    <t>Independent educational research sample. Hypothetical portfolio. As of the September 30, 2026 close, CAD. Not investment advice.</t>
  </si>
  <si>
    <t>Portfolio return</t>
  </si>
  <si>
    <t>Benchmark (VBAL) return</t>
  </si>
  <si>
    <t>Difference (pp)</t>
  </si>
  <si>
    <t>Equity contribution (pp)</t>
  </si>
  <si>
    <t>Bond contribution (pp)</t>
  </si>
  <si>
    <t>Month-end decision</t>
  </si>
  <si>
    <t>Rising rates hit bonds and credit, and the balanced mix lost 0.57% in September</t>
  </si>
  <si>
    <t>Rates and currency (Bank of Canada)</t>
  </si>
  <si>
    <t>Aug 31</t>
  </si>
  <si>
    <t>Sep 30</t>
  </si>
  <si>
    <t>Change</t>
  </si>
  <si>
    <t>Latest observation</t>
  </si>
  <si>
    <t>USD/CAD (daily average)</t>
  </si>
  <si>
    <t>CAD per USD</t>
  </si>
  <si>
    <t>Canada 2-year yield</t>
  </si>
  <si>
    <t>%</t>
  </si>
  <si>
    <t>Canada 10-year yield</t>
  </si>
  <si>
    <t>Bank of Canada overnight target</t>
  </si>
  <si>
    <t>Chart order: portfolio solid navy, benchmark dashed slate; contribution bars in holdings order. Tables behind the charts are on Returns and Contributions.</t>
  </si>
  <si>
    <t>Sources and snapshots</t>
  </si>
  <si>
    <t>Every input comes from a saved public snapshot (data/snapshots). Observation or publication date and retrieval date are shown. Facts are cited by [ref] in the report.</t>
  </si>
  <si>
    <t>Ref</t>
  </si>
  <si>
    <t>Kind</t>
  </si>
  <si>
    <t>Publisher</t>
  </si>
  <si>
    <t>Title / series</t>
  </si>
  <si>
    <t>URL requested</t>
  </si>
  <si>
    <t>Observation or publication</t>
  </si>
  <si>
    <t>Retrieved</t>
  </si>
  <si>
    <t>Snapshot file</t>
  </si>
  <si>
    <t>SHA-256 (first 12)</t>
  </si>
  <si>
    <t>Document</t>
  </si>
  <si>
    <t>Bank of Canada</t>
  </si>
  <si>
    <t>rate announcement</t>
  </si>
  <si>
    <t>https://www.bankofcanada.ca/2026/09/fad-press-release-2026-09-02/</t>
  </si>
  <si>
    <t>Sep 2, 2026</t>
  </si>
  <si>
    <t>2026-10-14</t>
  </si>
  <si>
    <t>data/snapshots/2026-09/docs/boc_2026_09_02.txt</t>
  </si>
  <si>
    <t>4ab4ce0b7753</t>
  </si>
  <si>
    <t>Federal Reserve Board</t>
  </si>
  <si>
    <t>FOMC statement</t>
  </si>
  <si>
    <t>https://www.federalreserve.gov/newsevents/pressreleases/monetary20260916a.htm</t>
  </si>
  <si>
    <t>Sep 16, 2026</t>
  </si>
  <si>
    <t>data/snapshots/2026-09/docs/fed_2026_09_16.txt</t>
  </si>
  <si>
    <t>3c5c918b7daf</t>
  </si>
  <si>
    <t>Federal Reserve</t>
  </si>
  <si>
    <t>FOMC meeting calendar</t>
  </si>
  <si>
    <t>https://www.federalreserve.gov/monetarypolicy/fomccalendars.htm</t>
  </si>
  <si>
    <t>schedule</t>
  </si>
  <si>
    <t>data/snapshots/2026-09/docs/fomc_calendar.txt</t>
  </si>
  <si>
    <t>691e7e5f64d9</t>
  </si>
  <si>
    <t>Prices</t>
  </si>
  <si>
    <t>Yahoo Finance (chart API)</t>
  </si>
  <si>
    <t>XIC.TO: daily close and ex-dividend events</t>
  </si>
  <si>
    <t>https://query1.finance.yahoo.com/v8/finance/chart/XIC.TO?period1=1787097600&amp;period2=1790812800&amp;interval=1d&amp;events=div%7Csplit</t>
  </si>
  <si>
    <t>2026-08-31 to 2026-09-30</t>
  </si>
  <si>
    <t>data/snapshots/2026-09/prices/XIC.TO.json</t>
  </si>
  <si>
    <t>d69e8a214db9</t>
  </si>
  <si>
    <t>XUU.TO: daily close and ex-dividend events</t>
  </si>
  <si>
    <t>https://query1.finance.yahoo.com/v8/finance/chart/XUU.TO?period1=1787097600&amp;period2=1790812800&amp;interval=1d&amp;events=div%7Csplit</t>
  </si>
  <si>
    <t>data/snapshots/2026-09/prices/XUU.TO.json</t>
  </si>
  <si>
    <t>e390ecb59d59</t>
  </si>
  <si>
    <t>XEF.TO: daily close and ex-dividend events</t>
  </si>
  <si>
    <t>https://query1.finance.yahoo.com/v8/finance/chart/XEF.TO?period1=1787097600&amp;period2=1790812800&amp;interval=1d&amp;events=div%7Csplit</t>
  </si>
  <si>
    <t>data/snapshots/2026-09/prices/XEF.TO.json</t>
  </si>
  <si>
    <t>16a85060ba54</t>
  </si>
  <si>
    <t>XEC.TO: daily close and ex-dividend events</t>
  </si>
  <si>
    <t>https://query1.finance.yahoo.com/v8/finance/chart/XEC.TO?period1=1787097600&amp;period2=1790812800&amp;interval=1d&amp;events=div%7Csplit</t>
  </si>
  <si>
    <t>data/snapshots/2026-09/prices/XEC.TO.json</t>
  </si>
  <si>
    <t>d711eb8ef521</t>
  </si>
  <si>
    <t>XBB.TO: daily close and ex-dividend events</t>
  </si>
  <si>
    <t>https://query1.finance.yahoo.com/v8/finance/chart/XBB.TO?period1=1787097600&amp;period2=1790812800&amp;interval=1d&amp;events=div%7Csplit</t>
  </si>
  <si>
    <t>data/snapshots/2026-09/prices/XBB.TO.json</t>
  </si>
  <si>
    <t>3d250b191d28</t>
  </si>
  <si>
    <t>XSB.TO: daily close and ex-dividend events</t>
  </si>
  <si>
    <t>https://query1.finance.yahoo.com/v8/finance/chart/XSB.TO?period1=1787097600&amp;period2=1790812800&amp;interval=1d&amp;events=div%7Csplit</t>
  </si>
  <si>
    <t>data/snapshots/2026-09/prices/XSB.TO.json</t>
  </si>
  <si>
    <t>e9fd99087d2c</t>
  </si>
  <si>
    <t>XHY.TO: daily close and ex-dividend events</t>
  </si>
  <si>
    <t>https://query1.finance.yahoo.com/v8/finance/chart/XHY.TO?period1=1787097600&amp;period2=1790812800&amp;interval=1d&amp;events=div%7Csplit</t>
  </si>
  <si>
    <t>data/snapshots/2026-09/prices/XHY.TO.json</t>
  </si>
  <si>
    <t>03d5d4afe1f2</t>
  </si>
  <si>
    <t>VBAL.TO: daily close and ex-dividend events</t>
  </si>
  <si>
    <t>https://query1.finance.yahoo.com/v8/finance/chart/VBAL.TO?period1=1787097600&amp;period2=1790812800&amp;interval=1d&amp;events=div%7Csplit</t>
  </si>
  <si>
    <t>data/snapshots/2026-09/prices/VBAL.TO.json</t>
  </si>
  <si>
    <t>74e129e8b636</t>
  </si>
  <si>
    <t>Macro</t>
  </si>
  <si>
    <t>Bank of Canada Valet API</t>
  </si>
  <si>
    <t>Series FXUSDCAD</t>
  </si>
  <si>
    <t>https://www.bankofcanada.ca/valet/observations/FXUSDCAD/json?start_date=2026-08-21&amp;end_date=2026-09-30</t>
  </si>
  <si>
    <t>to 2026-09-30</t>
  </si>
  <si>
    <t>data/snapshots/2026-09/macro/FXUSDCAD.json</t>
  </si>
  <si>
    <t>f20df89bfe51</t>
  </si>
  <si>
    <t>Series BD.CDN.2YR.DQ.YLD</t>
  </si>
  <si>
    <t>https://www.bankofcanada.ca/valet/observations/BD.CDN.2YR.DQ.YLD/json?start_date=2026-08-21&amp;end_date=2026-09-30</t>
  </si>
  <si>
    <t>data/snapshots/2026-09/macro/BD.CDN.2YR.DQ.YLD.json</t>
  </si>
  <si>
    <t>b2e50a58d398</t>
  </si>
  <si>
    <t>Series BD.CDN.10YR.DQ.YLD</t>
  </si>
  <si>
    <t>https://www.bankofcanada.ca/valet/observations/BD.CDN.10YR.DQ.YLD/json?start_date=2026-08-21&amp;end_date=2026-09-30</t>
  </si>
  <si>
    <t>data/snapshots/2026-09/macro/BD.CDN.10YR.DQ.YLD.json</t>
  </si>
  <si>
    <t>4d7d839a3405</t>
  </si>
  <si>
    <t>Series V39079</t>
  </si>
  <si>
    <t>https://www.bankofcanada.ca/valet/observations/V39079/json?start_date=2026-08-21&amp;end_date=2026-09-30</t>
  </si>
  <si>
    <t>data/snapshots/2026-09/macro/V39079.json</t>
  </si>
  <si>
    <t>6462828d7b47</t>
  </si>
  <si>
    <t>Issuer fund page</t>
  </si>
  <si>
    <t>ishares_xic</t>
  </si>
  <si>
    <t>https://www.blackrock.com/ca/investors/en/products/239837/ishares-sp-tsx-capped-composite-index-etf</t>
  </si>
  <si>
    <t>Undated; objective text</t>
  </si>
  <si>
    <t>data/snapshots/2026-09/docs/ishares_xic.txt</t>
  </si>
  <si>
    <t>0ca9e5af5ce3</t>
  </si>
  <si>
    <t>ishares_xuu</t>
  </si>
  <si>
    <t>https://www.blackrock.com/ca/investors/en/products/272104/ishares-core-sp-us-total-market-index-etf</t>
  </si>
  <si>
    <t>data/snapshots/2026-09/docs/ishares_xuu.txt</t>
  </si>
  <si>
    <t>4f6a4e007681</t>
  </si>
  <si>
    <t>ishares_xef</t>
  </si>
  <si>
    <t>https://www.blackrock.com/ca/investors/en/products/251421/ishares-msci-eafe-imi-index-etf</t>
  </si>
  <si>
    <t>data/snapshots/2026-09/docs/ishares_xef.txt</t>
  </si>
  <si>
    <t>e852218e6a7f</t>
  </si>
  <si>
    <t>ishares_xec</t>
  </si>
  <si>
    <t>https://www.blackrock.com/ca/investors/en/products/251423/ishares-msci-emerging-markets-imi-index-etf</t>
  </si>
  <si>
    <t>data/snapshots/2026-09/docs/ishares_xec.txt</t>
  </si>
  <si>
    <t>dee35d1e6b26</t>
  </si>
  <si>
    <t>ishares_xbb</t>
  </si>
  <si>
    <t>https://www.blackrock.com/ca/investors/en/products/239493/ishares-canadian-universe-bond-index-etf</t>
  </si>
  <si>
    <t>data/snapshots/2026-09/docs/ishares_xbb.txt</t>
  </si>
  <si>
    <t>c8e03d87dc1b</t>
  </si>
  <si>
    <t>ishares_xsb</t>
  </si>
  <si>
    <t>https://www.blackrock.com/ca/investors/en/products/239491/ishares-canadian-short-term-bond-index-etf</t>
  </si>
  <si>
    <t>data/snapshots/2026-09/docs/ishares_xsb.txt</t>
  </si>
  <si>
    <t>51e90daf10c8</t>
  </si>
  <si>
    <t>ishares_xhy</t>
  </si>
  <si>
    <t>https://www.blackrock.com/ca/investors/en/products/239858/ishares-us-high-yield-bond-index-etf-cadhedged-fund</t>
  </si>
  <si>
    <t>data/snapshots/2026-09/docs/ishares_xhy.txt</t>
  </si>
  <si>
    <t>02936566948e</t>
  </si>
  <si>
    <t>vanguard_vbal</t>
  </si>
  <si>
    <t>https://www.vanguard.ca/en/product/etf/asset-allocation/9578/vanguard-balanced-etf-portfolio</t>
  </si>
  <si>
    <t>data/snapshots/2026-09/docs/vanguard_vbal.txt</t>
  </si>
  <si>
    <t>44a1f87db53c</t>
  </si>
  <si>
    <t>Data-quality flags</t>
  </si>
  <si>
    <t>USD/CAD (daily average): end value is the Sep 29 observation (no publication on Sep 30).</t>
  </si>
  <si>
    <t>Canada 2-year yield: end value is the Sep 29 observation (no publication on Sep 30).</t>
  </si>
  <si>
    <t>Canada 10-year yield: end value is the Sep 29 observation (no publication on Sep 30).</t>
  </si>
  <si>
    <t>Documents [3] and [4] were published before the cutoff. Fund pages and the FOMC calendar were retrieved after the cutoff and are used only for stable descriptions and a schedule fixed in advance.</t>
  </si>
</sst>
</file>

<file path=xl/styles.xml><?xml version="1.0" encoding="utf-8"?>
<styleSheet xmlns="http://schemas.openxmlformats.org/spreadsheetml/2006/main">
  <numFmts count="13">
    <numFmt numFmtId="164" formatCode="+0.00%;-0.00%;0.00%"/>
    <numFmt numFmtId="165" formatCode="+0.00&quot; pp&quot;;-0.00&quot; pp&quot;;0.00&quot; pp&quot;"/>
    <numFmt numFmtId="166" formatCode="0.0000"/>
    <numFmt numFmtId="167" formatCode="yyyy-mm-dd"/>
    <numFmt numFmtId="168" formatCode="0.00"/>
    <numFmt numFmtId="169" formatCode="+0&quot; bp&quot;;-0&quot; bp&quot;;0&quot; bp&quot;"/>
    <numFmt numFmtId="170" formatCode="0.0%"/>
    <numFmt numFmtId="171" formatCode="#,##0"/>
    <numFmt numFmtId="172" formatCode="0.00%"/>
    <numFmt numFmtId="173" formatCode="#,##0.00"/>
    <numFmt numFmtId="174" formatCode="0.000000"/>
    <numFmt numFmtId="175" formatCode="0.0E+00"/>
    <numFmt numFmtId="176" formatCode="0.0"/>
  </numFmts>
  <fonts count="13">
    <font>
      <sz val="11"/>
      <color theme="1"/>
      <name val="Calibri"/>
      <family val="2"/>
      <scheme val="minor"/>
    </font>
    <font>
      <b/>
      <sz val="16"/>
      <color rgb="FF15324F"/>
      <name val="Inter Tabular"/>
      <family val="2"/>
    </font>
    <font>
      <sz val="10"/>
      <color rgb="FF475569"/>
      <name val="Inter Tabular"/>
      <family val="2"/>
    </font>
    <font>
      <b/>
      <sz val="10"/>
      <color rgb="FFFFFFFF"/>
      <name val="Inter Tabular"/>
      <family val="2"/>
    </font>
    <font>
      <b/>
      <sz val="10"/>
      <color rgb="FF0F172A"/>
      <name val="Inter Tabular"/>
      <family val="2"/>
    </font>
    <font>
      <b/>
      <sz val="12"/>
      <color rgb="FF15324F"/>
      <name val="Inter Tabular"/>
      <family val="2"/>
    </font>
    <font>
      <b/>
      <sz val="10"/>
      <color rgb="FF15324F"/>
      <name val="Inter Tabular"/>
      <family val="2"/>
    </font>
    <font>
      <sz val="10"/>
      <color rgb="FF0F172A"/>
      <name val="Inter Tabular"/>
      <family val="2"/>
    </font>
    <font>
      <sz val="10"/>
      <color rgb="FF1D4ED8"/>
      <name val="Inter Tabular"/>
      <family val="2"/>
    </font>
    <font>
      <sz val="10"/>
      <color rgb="FF0F172A"/>
      <name val="Inter Tabular"/>
      <family val="2"/>
    </font>
    <font>
      <i/>
      <sz val="10"/>
      <color rgb="FF475569"/>
      <name val="Inter Tabular"/>
      <family val="2"/>
    </font>
    <font>
      <sz val="10"/>
      <color rgb="FF1D4ED8"/>
      <name val="Inter Tabular"/>
      <family val="2"/>
    </font>
    <font>
      <u/>
      <sz val="10"/>
      <color rgb="FF1D4ED8"/>
      <name val="Inter Tabular"/>
      <family val="2"/>
    </font>
  </fonts>
  <fills count="5">
    <fill>
      <patternFill patternType="none"/>
    </fill>
    <fill>
      <patternFill patternType="gray125"/>
    </fill>
    <fill>
      <patternFill patternType="solid">
        <fgColor rgb="FF15324F"/>
        <bgColor indexed="64"/>
      </patternFill>
    </fill>
    <fill>
      <patternFill patternType="solid">
        <fgColor rgb="FFF8FAFC"/>
        <bgColor indexed="64"/>
      </patternFill>
    </fill>
    <fill>
      <patternFill patternType="solid">
        <fgColor rgb="FFFFFFFF"/>
        <bgColor indexed="64"/>
      </patternFill>
    </fill>
  </fills>
  <borders count="3">
    <border>
      <left/>
      <right/>
      <top/>
      <bottom/>
      <diagonal/>
    </border>
    <border>
      <left style="thin">
        <color rgb="FF15324F"/>
      </left>
      <right style="thin">
        <color rgb="FF15324F"/>
      </right>
      <top style="thin">
        <color rgb="FF15324F"/>
      </top>
      <bottom style="thin">
        <color rgb="FF15324F"/>
      </bottom>
      <diagonal/>
    </border>
    <border>
      <left/>
      <right/>
      <top/>
      <bottom style="thin">
        <color rgb="FFE2E8F0"/>
      </bottom>
      <diagonal/>
    </border>
  </borders>
  <cellStyleXfs count="1">
    <xf numFmtId="0" fontId="0" fillId="0" borderId="0"/>
  </cellStyleXfs>
  <cellXfs count="40">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1" xfId="0" applyFont="1" applyFill="1" applyBorder="1" applyAlignment="1">
      <alignment horizontal="center" vertical="center" wrapText="1"/>
    </xf>
    <xf numFmtId="164" fontId="4" fillId="3" borderId="2" xfId="0" applyNumberFormat="1" applyFont="1" applyFill="1" applyBorder="1" applyAlignment="1">
      <alignment horizontal="right" vertical="center"/>
    </xf>
    <xf numFmtId="165" fontId="4" fillId="3" borderId="2" xfId="0" applyNumberFormat="1" applyFont="1" applyFill="1" applyBorder="1" applyAlignment="1">
      <alignment horizontal="right" vertical="center"/>
    </xf>
    <xf numFmtId="0" fontId="4" fillId="3" borderId="2" xfId="0" applyFont="1" applyFill="1" applyBorder="1" applyAlignment="1">
      <alignment horizontal="right" vertical="center"/>
    </xf>
    <xf numFmtId="0" fontId="5" fillId="0" borderId="0" xfId="0" applyFont="1" applyAlignment="1">
      <alignment vertical="center" wrapText="1"/>
    </xf>
    <xf numFmtId="0" fontId="6" fillId="0" borderId="0" xfId="0" applyFont="1" applyAlignment="1">
      <alignment vertical="center"/>
    </xf>
    <xf numFmtId="0" fontId="3" fillId="2" borderId="1" xfId="0" applyFont="1" applyFill="1" applyBorder="1" applyAlignment="1">
      <alignment horizontal="left" vertical="center" wrapText="1"/>
    </xf>
    <xf numFmtId="0" fontId="7" fillId="0" borderId="2" xfId="0" applyFont="1" applyBorder="1" applyAlignment="1">
      <alignment vertical="center"/>
    </xf>
    <xf numFmtId="166" fontId="8" fillId="4" borderId="2" xfId="0" applyNumberFormat="1" applyFont="1" applyFill="1" applyBorder="1" applyAlignment="1">
      <alignment horizontal="right" vertical="center"/>
    </xf>
    <xf numFmtId="164" fontId="9" fillId="4" borderId="2" xfId="0" applyNumberFormat="1" applyFont="1" applyFill="1" applyBorder="1" applyAlignment="1">
      <alignment horizontal="right" vertical="center"/>
    </xf>
    <xf numFmtId="0" fontId="7" fillId="0" borderId="2" xfId="0" applyFont="1" applyBorder="1" applyAlignment="1">
      <alignment horizontal="center" vertical="center"/>
    </xf>
    <xf numFmtId="167" fontId="7" fillId="0" borderId="2" xfId="0" applyNumberFormat="1" applyFont="1" applyBorder="1" applyAlignment="1">
      <alignment horizontal="left" vertical="center"/>
    </xf>
    <xf numFmtId="168" fontId="8" fillId="4" borderId="2" xfId="0" applyNumberFormat="1" applyFont="1" applyFill="1" applyBorder="1" applyAlignment="1">
      <alignment horizontal="right" vertical="center"/>
    </xf>
    <xf numFmtId="169" fontId="9" fillId="4" borderId="2" xfId="0" applyNumberFormat="1" applyFont="1" applyFill="1" applyBorder="1" applyAlignment="1">
      <alignment horizontal="right" vertical="center"/>
    </xf>
    <xf numFmtId="0" fontId="10" fillId="0" borderId="0" xfId="0" applyFont="1" applyAlignment="1">
      <alignment vertical="top" wrapText="1"/>
    </xf>
    <xf numFmtId="170" fontId="8" fillId="4" borderId="2" xfId="0" applyNumberFormat="1" applyFont="1" applyFill="1" applyBorder="1" applyAlignment="1">
      <alignment horizontal="right" vertical="center"/>
    </xf>
    <xf numFmtId="171" fontId="9" fillId="4" borderId="2" xfId="0" applyNumberFormat="1" applyFont="1" applyFill="1" applyBorder="1" applyAlignment="1">
      <alignment horizontal="right" vertical="center"/>
    </xf>
    <xf numFmtId="170" fontId="9" fillId="4" borderId="2" xfId="0" applyNumberFormat="1" applyFont="1" applyFill="1" applyBorder="1" applyAlignment="1">
      <alignment horizontal="right" vertical="center"/>
    </xf>
    <xf numFmtId="165" fontId="9" fillId="4" borderId="2" xfId="0" applyNumberFormat="1" applyFont="1" applyFill="1" applyBorder="1" applyAlignment="1">
      <alignment horizontal="right" vertical="center"/>
    </xf>
    <xf numFmtId="0" fontId="7" fillId="0" borderId="2" xfId="0" applyFont="1" applyBorder="1" applyAlignment="1">
      <alignment vertical="top" wrapText="1"/>
    </xf>
    <xf numFmtId="0" fontId="4" fillId="3" borderId="2" xfId="0" applyFont="1" applyFill="1" applyBorder="1" applyAlignment="1">
      <alignment vertical="center"/>
    </xf>
    <xf numFmtId="170" fontId="4" fillId="3" borderId="2" xfId="0" applyNumberFormat="1" applyFont="1" applyFill="1" applyBorder="1" applyAlignment="1">
      <alignment horizontal="right" vertical="center"/>
    </xf>
    <xf numFmtId="171" fontId="4" fillId="3" borderId="2" xfId="0" applyNumberFormat="1" applyFont="1" applyFill="1" applyBorder="1" applyAlignment="1">
      <alignment horizontal="right" vertical="center"/>
    </xf>
    <xf numFmtId="0" fontId="6" fillId="0" borderId="2" xfId="0" applyFont="1" applyBorder="1" applyAlignment="1">
      <alignment vertical="center"/>
    </xf>
    <xf numFmtId="168" fontId="9" fillId="4" borderId="2" xfId="0" applyNumberFormat="1" applyFont="1" applyFill="1" applyBorder="1" applyAlignment="1">
      <alignment horizontal="right" vertical="center"/>
    </xf>
    <xf numFmtId="172" fontId="9" fillId="4" borderId="2" xfId="0" applyNumberFormat="1" applyFont="1" applyFill="1" applyBorder="1" applyAlignment="1">
      <alignment horizontal="right" vertical="center"/>
    </xf>
    <xf numFmtId="173" fontId="9" fillId="4" borderId="2" xfId="0" applyNumberFormat="1" applyFont="1" applyFill="1" applyBorder="1" applyAlignment="1">
      <alignment horizontal="right" vertical="center"/>
    </xf>
    <xf numFmtId="166" fontId="9" fillId="4" borderId="2" xfId="0" applyNumberFormat="1" applyFont="1" applyFill="1" applyBorder="1" applyAlignment="1">
      <alignment horizontal="right" vertical="center"/>
    </xf>
    <xf numFmtId="174" fontId="9" fillId="4" borderId="2" xfId="0" applyNumberFormat="1" applyFont="1" applyFill="1" applyBorder="1" applyAlignment="1">
      <alignment horizontal="right" vertical="center"/>
    </xf>
    <xf numFmtId="175" fontId="9" fillId="4" borderId="2" xfId="0" applyNumberFormat="1" applyFont="1" applyFill="1" applyBorder="1" applyAlignment="1">
      <alignment horizontal="right" vertical="center"/>
    </xf>
    <xf numFmtId="176" fontId="9" fillId="4" borderId="2" xfId="0" applyNumberFormat="1" applyFont="1" applyFill="1" applyBorder="1" applyAlignment="1">
      <alignment horizontal="right" vertical="center"/>
    </xf>
    <xf numFmtId="0" fontId="11" fillId="0" borderId="2" xfId="0" applyFont="1" applyBorder="1" applyAlignment="1">
      <alignment horizontal="right" vertical="center"/>
    </xf>
    <xf numFmtId="167" fontId="11" fillId="0" borderId="2" xfId="0" applyNumberFormat="1" applyFont="1" applyBorder="1" applyAlignment="1">
      <alignment horizontal="right" vertical="center"/>
    </xf>
    <xf numFmtId="173" fontId="8" fillId="4" borderId="2" xfId="0" applyNumberFormat="1" applyFont="1" applyFill="1" applyBorder="1" applyAlignment="1">
      <alignment horizontal="right" vertical="center"/>
    </xf>
    <xf numFmtId="176" fontId="8" fillId="4" borderId="2" xfId="0" applyNumberFormat="1" applyFont="1" applyFill="1" applyBorder="1" applyAlignment="1">
      <alignment horizontal="right" vertical="center"/>
    </xf>
    <xf numFmtId="175" fontId="8" fillId="4" borderId="2" xfId="0" applyNumberFormat="1" applyFont="1" applyFill="1" applyBorder="1" applyAlignment="1">
      <alignment horizontal="right" vertical="center"/>
    </xf>
    <xf numFmtId="0" fontId="12" fillId="0" borderId="2" xfId="0" applyFont="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0F172A"/>
                </a:solidFill>
                <a:latin typeface="Inter Tabular"/>
              </a:defRPr>
            </a:pPr>
            <a:r>
              <a:rPr lang="en-US" sz="1100" baseline="0">
                <a:solidFill>
                  <a:srgbClr val="0F172A"/>
                </a:solidFill>
                <a:latin typeface="Inter Tabular"/>
              </a:rPr>
              <a:t>Cumulative total return, CAD</a:t>
            </a:r>
          </a:p>
        </c:rich>
      </c:tx>
      <c:layout/>
    </c:title>
    <c:plotArea>
      <c:layout/>
      <c:lineChart>
        <c:grouping val="standard"/>
        <c:ser>
          <c:idx val="0"/>
          <c:order val="0"/>
          <c:tx>
            <c:v>Hypothetical portfolio</c:v>
          </c:tx>
          <c:spPr>
            <a:ln w="31750">
              <a:solidFill>
                <a:srgbClr val="15324F"/>
              </a:solidFill>
            </a:ln>
          </c:spPr>
          <c:marker>
            <c:symbol val="none"/>
          </c:marker>
          <c:cat>
            <c:numRef>
              <c:f>Returns!$K$5:$K$26</c:f>
              <c:numCache>
                <c:formatCode>General</c:formatCode>
                <c:ptCount val="22"/>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pt idx="20">
                  <c:v>46294</c:v>
                </c:pt>
                <c:pt idx="21">
                  <c:v>46295</c:v>
                </c:pt>
              </c:numCache>
            </c:numRef>
          </c:cat>
          <c:val>
            <c:numRef>
              <c:f>Returns!$AJ$5:$AJ$26</c:f>
              <c:numCache>
                <c:formatCode>General</c:formatCode>
                <c:ptCount val="22"/>
                <c:pt idx="0">
                  <c:v>0.0</c:v>
                </c:pt>
                <c:pt idx="1">
                  <c:v>-0.0031970065287700855</c:v>
                </c:pt>
                <c:pt idx="2">
                  <c:v>-0.004089344024506336</c:v>
                </c:pt>
                <c:pt idx="3">
                  <c:v>0.0018459473911547342</c:v>
                </c:pt>
                <c:pt idx="4">
                  <c:v>0.0024792538531206443</c:v>
                </c:pt>
                <c:pt idx="5">
                  <c:v>-0.0030395051792933003</c:v>
                </c:pt>
                <c:pt idx="6">
                  <c:v>-0.007082319719341035</c:v>
                </c:pt>
                <c:pt idx="7">
                  <c:v>-0.014214897266865534</c:v>
                </c:pt>
                <c:pt idx="8">
                  <c:v>-0.008619563832705457</c:v>
                </c:pt>
                <c:pt idx="9">
                  <c:v>-0.009945066408794445</c:v>
                </c:pt>
                <c:pt idx="10">
                  <c:v>-0.012536437958456492</c:v>
                </c:pt>
                <c:pt idx="11">
                  <c:v>-0.012481959104332252</c:v>
                </c:pt>
                <c:pt idx="12">
                  <c:v>-0.0037173120956059957</c:v>
                </c:pt>
                <c:pt idx="13">
                  <c:v>-0.005508670264078419</c:v>
                </c:pt>
                <c:pt idx="14">
                  <c:v>0.00389221335984713</c:v>
                </c:pt>
                <c:pt idx="15">
                  <c:v>0.007926218026409027</c:v>
                </c:pt>
                <c:pt idx="16">
                  <c:v>-0.001627491903674394</c:v>
                </c:pt>
                <c:pt idx="17">
                  <c:v>-0.0022424913094886145</c:v>
                </c:pt>
                <c:pt idx="18">
                  <c:v>0.002344010606756264</c:v>
                </c:pt>
                <c:pt idx="19">
                  <c:v>-0.0024129545657582963</c:v>
                </c:pt>
                <c:pt idx="20">
                  <c:v>-0.0039907212511895995</c:v>
                </c:pt>
                <c:pt idx="21">
                  <c:v>-0.005676684193404835</c:v>
                </c:pt>
              </c:numCache>
            </c:numRef>
          </c:val>
        </c:ser>
        <c:ser>
          <c:idx val="1"/>
          <c:order val="1"/>
          <c:tx>
            <c:v>Benchmark (VBAL)</c:v>
          </c:tx>
          <c:spPr>
            <a:ln w="25400">
              <a:solidFill>
                <a:srgbClr val="475569"/>
              </a:solidFill>
              <a:prstDash val="dash"/>
            </a:ln>
          </c:spPr>
          <c:marker>
            <c:symbol val="none"/>
          </c:marker>
          <c:cat>
            <c:numRef>
              <c:f>Returns!$K$5:$K$26</c:f>
              <c:numCache>
                <c:formatCode>General</c:formatCode>
                <c:ptCount val="22"/>
                <c:pt idx="0">
                  <c:v>46265</c:v>
                </c:pt>
                <c:pt idx="1">
                  <c:v>46266</c:v>
                </c:pt>
                <c:pt idx="2">
                  <c:v>46267</c:v>
                </c:pt>
                <c:pt idx="3">
                  <c:v>46268</c:v>
                </c:pt>
                <c:pt idx="4">
                  <c:v>46269</c:v>
                </c:pt>
                <c:pt idx="5">
                  <c:v>46273</c:v>
                </c:pt>
                <c:pt idx="6">
                  <c:v>46274</c:v>
                </c:pt>
                <c:pt idx="7">
                  <c:v>46275</c:v>
                </c:pt>
                <c:pt idx="8">
                  <c:v>46276</c:v>
                </c:pt>
                <c:pt idx="9">
                  <c:v>46279</c:v>
                </c:pt>
                <c:pt idx="10">
                  <c:v>46280</c:v>
                </c:pt>
                <c:pt idx="11">
                  <c:v>46281</c:v>
                </c:pt>
                <c:pt idx="12">
                  <c:v>46282</c:v>
                </c:pt>
                <c:pt idx="13">
                  <c:v>46283</c:v>
                </c:pt>
                <c:pt idx="14">
                  <c:v>46286</c:v>
                </c:pt>
                <c:pt idx="15">
                  <c:v>46287</c:v>
                </c:pt>
                <c:pt idx="16">
                  <c:v>46288</c:v>
                </c:pt>
                <c:pt idx="17">
                  <c:v>46289</c:v>
                </c:pt>
                <c:pt idx="18">
                  <c:v>46290</c:v>
                </c:pt>
                <c:pt idx="19">
                  <c:v>46293</c:v>
                </c:pt>
                <c:pt idx="20">
                  <c:v>46294</c:v>
                </c:pt>
                <c:pt idx="21">
                  <c:v>46295</c:v>
                </c:pt>
              </c:numCache>
            </c:numRef>
          </c:cat>
          <c:val>
            <c:numRef>
              <c:f>Returns!$AK$5:$AK$26</c:f>
              <c:numCache>
                <c:formatCode>General</c:formatCode>
                <c:ptCount val="22"/>
                <c:pt idx="0">
                  <c:v>0.0</c:v>
                </c:pt>
                <c:pt idx="1">
                  <c:v>-0.005027575524870875</c:v>
                </c:pt>
                <c:pt idx="2">
                  <c:v>-0.004022117956810511</c:v>
                </c:pt>
                <c:pt idx="3">
                  <c:v>0.001759670612675901</c:v>
                </c:pt>
                <c:pt idx="4">
                  <c:v>0.002765224075592654</c:v>
                </c:pt>
                <c:pt idx="5">
                  <c:v>-0.0030165644938938696</c:v>
                </c:pt>
                <c:pt idx="6">
                  <c:v>-0.007164400607282961</c:v>
                </c:pt>
                <c:pt idx="7">
                  <c:v>-0.014580141632866916</c:v>
                </c:pt>
                <c:pt idx="8">
                  <c:v>-0.009049789376537665</c:v>
                </c:pt>
                <c:pt idx="9">
                  <c:v>-0.010809459989213677</c:v>
                </c:pt>
                <c:pt idx="10">
                  <c:v>-0.013071907333348065</c:v>
                </c:pt>
                <c:pt idx="11">
                  <c:v>-0.012820471020190793</c:v>
                </c:pt>
                <c:pt idx="12">
                  <c:v>-0.004147740218532814</c:v>
                </c:pt>
                <c:pt idx="13">
                  <c:v>-0.005781788569486523</c:v>
                </c:pt>
                <c:pt idx="14">
                  <c:v>0.004273554269967672</c:v>
                </c:pt>
                <c:pt idx="15">
                  <c:v>0.007792895495319918</c:v>
                </c:pt>
                <c:pt idx="16">
                  <c:v>-0.0015082342995187403</c:v>
                </c:pt>
                <c:pt idx="17">
                  <c:v>-0.002513787762435493</c:v>
                </c:pt>
                <c:pt idx="18">
                  <c:v>0.002513883657291771</c:v>
                </c:pt>
                <c:pt idx="19">
                  <c:v>-0.002765224075592654</c:v>
                </c:pt>
                <c:pt idx="20">
                  <c:v>-0.004524894688268666</c:v>
                </c:pt>
                <c:pt idx="21">
                  <c:v>-0.005027575524870653</c:v>
                </c:pt>
              </c:numCache>
            </c:numRef>
          </c:val>
        </c:ser>
        <c:marker val="1"/>
        <c:axId val="50010001"/>
        <c:axId val="50010002"/>
      </c:lineChart>
      <c:dateAx>
        <c:axId val="50010001"/>
        <c:scaling>
          <c:orientation val="minMax"/>
        </c:scaling>
        <c:axPos val="b"/>
        <c:title>
          <c:tx>
            <c:rich>
              <a:bodyPr/>
              <a:lstStyle/>
              <a:p>
                <a:pPr>
                  <a:defRPr sz="900" baseline="0">
                    <a:latin typeface="Inter Tabular"/>
                  </a:defRPr>
                </a:pPr>
                <a:r>
                  <a:rPr lang="en-US" sz="900" baseline="0">
                    <a:latin typeface="Inter Tabular"/>
                  </a:rPr>
                  <a:t>Trading days</a:t>
                </a:r>
              </a:p>
            </c:rich>
          </c:tx>
          <c:layout/>
        </c:title>
        <c:numFmt formatCode="mmm d" sourceLinked="0"/>
        <c:tickLblPos val="low"/>
        <c:txPr>
          <a:bodyPr/>
          <a:lstStyle/>
          <a:p>
            <a:pPr>
              <a:defRPr sz="900" baseline="0">
                <a:latin typeface="Inter Tabular"/>
              </a:defRPr>
            </a:pPr>
            <a:endParaRPr lang="en-US"/>
          </a:p>
        </c:txPr>
        <c:crossAx val="50010002"/>
        <c:crossesAt val="0"/>
        <c:auto val="1"/>
        <c:lblOffset val="100"/>
        <c:majorUnit val="7"/>
        <c:majorTimeUnit val="days"/>
      </c:dateAx>
      <c:valAx>
        <c:axId val="50010002"/>
        <c:scaling>
          <c:orientation val="minMax"/>
        </c:scaling>
        <c:axPos val="l"/>
        <c:majorGridlines>
          <c:spPr>
            <a:ln>
              <a:solidFill>
                <a:srgbClr val="E2E8F0"/>
              </a:solidFill>
            </a:ln>
          </c:spPr>
        </c:majorGridlines>
        <c:title>
          <c:tx>
            <c:rich>
              <a:bodyPr rot="-5400000" vert="horz"/>
              <a:lstStyle/>
              <a:p>
                <a:pPr>
                  <a:defRPr sz="900" baseline="0">
                    <a:latin typeface="Inter Tabular"/>
                  </a:defRPr>
                </a:pPr>
                <a:r>
                  <a:rPr lang="en-US" sz="900" baseline="0">
                    <a:latin typeface="Inter Tabular"/>
                  </a:rPr>
                  <a:t>Cumulative return</a:t>
                </a:r>
              </a:p>
            </c:rich>
          </c:tx>
          <c:layout/>
        </c:title>
        <c:numFmt formatCode="0.0%" sourceLinked="0"/>
        <c:tickLblPos val="nextTo"/>
        <c:txPr>
          <a:bodyPr/>
          <a:lstStyle/>
          <a:p>
            <a:pPr>
              <a:defRPr sz="900" baseline="0">
                <a:latin typeface="Inter Tabular"/>
              </a:defRPr>
            </a:pPr>
            <a:endParaRPr lang="en-US"/>
          </a:p>
        </c:txPr>
        <c:crossAx val="50010001"/>
        <c:crosses val="autoZero"/>
        <c:crossBetween val="between"/>
      </c:valAx>
    </c:plotArea>
    <c:legend>
      <c:legendPos val="b"/>
      <c:layout/>
      <c:txPr>
        <a:bodyPr/>
        <a:lstStyle/>
        <a:p>
          <a:pPr>
            <a:defRPr sz="900" baseline="0">
              <a:latin typeface="Inter Tabular"/>
            </a:defRPr>
          </a:pPr>
          <a:endParaRPr lang="en-US"/>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0F172A"/>
                </a:solidFill>
                <a:latin typeface="Inter Tabular"/>
              </a:defRPr>
            </a:pPr>
            <a:r>
              <a:rPr lang="en-US" sz="1100" baseline="0">
                <a:solidFill>
                  <a:srgbClr val="0F172A"/>
                </a:solidFill>
                <a:latin typeface="Inter Tabular"/>
              </a:rPr>
              <a:t>Contribution to return, pp (equity navy, fixed income blue)</a:t>
            </a:r>
          </a:p>
        </c:rich>
      </c:tx>
      <c:layout/>
    </c:title>
    <c:plotArea>
      <c:layout/>
      <c:barChart>
        <c:barDir val="bar"/>
        <c:grouping val="clustered"/>
        <c:ser>
          <c:idx val="0"/>
          <c:order val="0"/>
          <c:tx>
            <c:v>Contribution (pp)</c:v>
          </c:tx>
          <c:dPt>
            <c:idx val="0"/>
            <c:spPr>
              <a:solidFill>
                <a:srgbClr val="15324F"/>
              </a:solidFill>
            </c:spPr>
          </c:dPt>
          <c:dPt>
            <c:idx val="1"/>
            <c:spPr>
              <a:solidFill>
                <a:srgbClr val="15324F"/>
              </a:solidFill>
            </c:spPr>
          </c:dPt>
          <c:dPt>
            <c:idx val="2"/>
            <c:spPr>
              <a:solidFill>
                <a:srgbClr val="15324F"/>
              </a:solidFill>
            </c:spPr>
          </c:dPt>
          <c:dPt>
            <c:idx val="3"/>
            <c:spPr>
              <a:solidFill>
                <a:srgbClr val="15324F"/>
              </a:solidFill>
            </c:spPr>
          </c:dPt>
          <c:dPt>
            <c:idx val="4"/>
            <c:spPr>
              <a:solidFill>
                <a:srgbClr val="1D4ED8"/>
              </a:solidFill>
            </c:spPr>
          </c:dPt>
          <c:dPt>
            <c:idx val="5"/>
            <c:spPr>
              <a:solidFill>
                <a:srgbClr val="1D4ED8"/>
              </a:solidFill>
            </c:spPr>
          </c:dPt>
          <c:dPt>
            <c:idx val="6"/>
            <c:spPr>
              <a:solidFill>
                <a:srgbClr val="1D4ED8"/>
              </a:solidFill>
            </c:spPr>
          </c:dPt>
          <c:dLbls>
            <c:numFmt formatCode="+0.00;-0.00" sourceLinked="0"/>
            <c:txPr>
              <a:bodyPr/>
              <a:lstStyle/>
              <a:p>
                <a:pPr>
                  <a:defRPr sz="900" baseline="0">
                    <a:latin typeface="Inter Tabular"/>
                  </a:defRPr>
                </a:pPr>
                <a:endParaRPr lang="en-US"/>
              </a:p>
            </c:txPr>
            <c:showVal val="1"/>
          </c:dLbls>
          <c:cat>
            <c:strRef>
              <c:f>Contributions!$A$32:$A$38</c:f>
              <c:strCache>
                <c:ptCount val="7"/>
                <c:pt idx="0">
                  <c:v>XIC</c:v>
                </c:pt>
                <c:pt idx="1">
                  <c:v>XUU</c:v>
                </c:pt>
                <c:pt idx="2">
                  <c:v>XEF</c:v>
                </c:pt>
                <c:pt idx="3">
                  <c:v>XEC</c:v>
                </c:pt>
                <c:pt idx="4">
                  <c:v>XBB</c:v>
                </c:pt>
                <c:pt idx="5">
                  <c:v>XSB</c:v>
                </c:pt>
                <c:pt idx="6">
                  <c:v>XHY</c:v>
                </c:pt>
              </c:strCache>
            </c:strRef>
          </c:cat>
          <c:val>
            <c:numRef>
              <c:f>Contributions!$C$32:$C$38</c:f>
              <c:numCache>
                <c:formatCode>General</c:formatCode>
                <c:ptCount val="7"/>
                <c:pt idx="0">
                  <c:v>-0.5395143030824797</c:v>
                </c:pt>
                <c:pt idx="1">
                  <c:v>0.4847791909213337</c:v>
                </c:pt>
                <c:pt idx="2">
                  <c:v>-0.08088501796301972</c:v>
                </c:pt>
                <c:pt idx="3">
                  <c:v>0.10656798263596003</c:v>
                </c:pt>
                <c:pt idx="4">
                  <c:v>-0.311510509784479</c:v>
                </c:pt>
                <c:pt idx="5">
                  <c:v>-0.07473542688315948</c:v>
                </c:pt>
                <c:pt idx="6">
                  <c:v>-0.1523703351846333</c:v>
                </c:pt>
              </c:numCache>
            </c:numRef>
          </c:val>
        </c:ser>
        <c:gapWidth val="60"/>
        <c:axId val="50020001"/>
        <c:axId val="50020002"/>
      </c:barChart>
      <c:catAx>
        <c:axId val="50020001"/>
        <c:scaling>
          <c:orientation val="maxMin"/>
        </c:scaling>
        <c:axPos val="l"/>
        <c:tickLblPos val="low"/>
        <c:txPr>
          <a:bodyPr/>
          <a:lstStyle/>
          <a:p>
            <a:pPr>
              <a:defRPr sz="900" baseline="0">
                <a:latin typeface="Inter Tabular"/>
              </a:defRPr>
            </a:pPr>
            <a:endParaRPr lang="en-US"/>
          </a:p>
        </c:txPr>
        <c:crossAx val="50020002"/>
        <c:crosses val="autoZero"/>
        <c:auto val="1"/>
        <c:lblAlgn val="ctr"/>
        <c:lblOffset val="100"/>
      </c:catAx>
      <c:valAx>
        <c:axId val="50020002"/>
        <c:scaling>
          <c:orientation val="minMax"/>
          <c:max val="1.0"/>
          <c:min val="-1.0"/>
        </c:scaling>
        <c:axPos val="t"/>
        <c:majorGridlines>
          <c:spPr>
            <a:ln>
              <a:solidFill>
                <a:srgbClr val="E2E8F0"/>
              </a:solidFill>
            </a:ln>
          </c:spPr>
        </c:majorGridlines>
        <c:title>
          <c:tx>
            <c:rich>
              <a:bodyPr/>
              <a:lstStyle/>
              <a:p>
                <a:pPr>
                  <a:defRPr sz="900" baseline="0">
                    <a:latin typeface="Inter Tabular"/>
                  </a:defRPr>
                </a:pPr>
                <a:r>
                  <a:rPr lang="en-US" sz="900" baseline="0">
                    <a:latin typeface="Inter Tabular"/>
                  </a:rPr>
                  <a:t>Percentage points</a:t>
                </a:r>
              </a:p>
            </c:rich>
          </c:tx>
          <c:layout/>
        </c:title>
        <c:numFmt formatCode="0.00" sourceLinked="0"/>
        <c:tickLblPos val="nextTo"/>
        <c:txPr>
          <a:bodyPr/>
          <a:lstStyle/>
          <a:p>
            <a:pPr>
              <a:defRPr sz="900" baseline="0">
                <a:latin typeface="Inter Tabular"/>
              </a:defRPr>
            </a:pPr>
            <a:endParaRPr lang="en-US"/>
          </a:p>
        </c:txPr>
        <c:crossAx val="5002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123825</xdr:colOff>
      <xdr:row>32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17</xdr:row>
      <xdr:rowOff>0</xdr:rowOff>
    </xdr:from>
    <xdr:to>
      <xdr:col>6</xdr:col>
      <xdr:colOff>638175</xdr:colOff>
      <xdr:row>32</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bankofcanada.ca/2026/09/fad-press-release-2026-09-02/" TargetMode="External"/><Relationship Id="rId2" Type="http://schemas.openxmlformats.org/officeDocument/2006/relationships/hyperlink" Target="https://www.federalreserve.gov/newsevents/pressreleases/monetary20260916a.htm" TargetMode="External"/><Relationship Id="rId3" Type="http://schemas.openxmlformats.org/officeDocument/2006/relationships/hyperlink" Target="https://www.federalreserve.gov/monetarypolicy/fomccalendars.htm" TargetMode="External"/><Relationship Id="rId4" Type="http://schemas.openxmlformats.org/officeDocument/2006/relationships/hyperlink" Target="https://query1.finance.yahoo.com/v8/finance/chart/XIC.TO?period1=1787097600&amp;period2=1790812800&amp;interval=1d&amp;events=div%7Csplit" TargetMode="External"/><Relationship Id="rId5" Type="http://schemas.openxmlformats.org/officeDocument/2006/relationships/hyperlink" Target="https://query1.finance.yahoo.com/v8/finance/chart/XUU.TO?period1=1787097600&amp;period2=1790812800&amp;interval=1d&amp;events=div%7Csplit" TargetMode="External"/><Relationship Id="rId6" Type="http://schemas.openxmlformats.org/officeDocument/2006/relationships/hyperlink" Target="https://query1.finance.yahoo.com/v8/finance/chart/XEF.TO?period1=1787097600&amp;period2=1790812800&amp;interval=1d&amp;events=div%7Csplit" TargetMode="External"/><Relationship Id="rId7" Type="http://schemas.openxmlformats.org/officeDocument/2006/relationships/hyperlink" Target="https://query1.finance.yahoo.com/v8/finance/chart/XEC.TO?period1=1787097600&amp;period2=1790812800&amp;interval=1d&amp;events=div%7Csplit" TargetMode="External"/><Relationship Id="rId8" Type="http://schemas.openxmlformats.org/officeDocument/2006/relationships/hyperlink" Target="https://query1.finance.yahoo.com/v8/finance/chart/XBB.TO?period1=1787097600&amp;period2=1790812800&amp;interval=1d&amp;events=div%7Csplit" TargetMode="External"/><Relationship Id="rId9" Type="http://schemas.openxmlformats.org/officeDocument/2006/relationships/hyperlink" Target="https://query1.finance.yahoo.com/v8/finance/chart/XSB.TO?period1=1787097600&amp;period2=1790812800&amp;interval=1d&amp;events=div%7Csplit" TargetMode="External"/><Relationship Id="rId10" Type="http://schemas.openxmlformats.org/officeDocument/2006/relationships/hyperlink" Target="https://query1.finance.yahoo.com/v8/finance/chart/XHY.TO?period1=1787097600&amp;period2=1790812800&amp;interval=1d&amp;events=div%7Csplit" TargetMode="External"/><Relationship Id="rId11" Type="http://schemas.openxmlformats.org/officeDocument/2006/relationships/hyperlink" Target="https://query1.finance.yahoo.com/v8/finance/chart/VBAL.TO?period1=1787097600&amp;period2=1790812800&amp;interval=1d&amp;events=div%7Csplit" TargetMode="External"/><Relationship Id="rId12" Type="http://schemas.openxmlformats.org/officeDocument/2006/relationships/hyperlink" Target="https://www.bankofcanada.ca/valet/observations/FXUSDCAD/json?start_date=2026-08-21&amp;end_date=2026-09-30" TargetMode="External"/><Relationship Id="rId13" Type="http://schemas.openxmlformats.org/officeDocument/2006/relationships/hyperlink" Target="https://www.bankofcanada.ca/valet/observations/BD.CDN.2YR.DQ.YLD/json?start_date=2026-08-21&amp;end_date=2026-09-30" TargetMode="External"/><Relationship Id="rId14" Type="http://schemas.openxmlformats.org/officeDocument/2006/relationships/hyperlink" Target="https://www.bankofcanada.ca/valet/observations/BD.CDN.10YR.DQ.YLD/json?start_date=2026-08-21&amp;end_date=2026-09-30" TargetMode="External"/><Relationship Id="rId15" Type="http://schemas.openxmlformats.org/officeDocument/2006/relationships/hyperlink" Target="https://www.bankofcanada.ca/valet/observations/V39079/json?start_date=2026-08-21&amp;end_date=2026-09-30" TargetMode="External"/><Relationship Id="rId16" Type="http://schemas.openxmlformats.org/officeDocument/2006/relationships/hyperlink" Target="https://www.blackrock.com/ca/investors/en/products/239837/ishares-sp-tsx-capped-composite-index-etf" TargetMode="External"/><Relationship Id="rId17" Type="http://schemas.openxmlformats.org/officeDocument/2006/relationships/hyperlink" Target="https://www.blackrock.com/ca/investors/en/products/272104/ishares-core-sp-us-total-market-index-etf" TargetMode="External"/><Relationship Id="rId18" Type="http://schemas.openxmlformats.org/officeDocument/2006/relationships/hyperlink" Target="https://www.blackrock.com/ca/investors/en/products/251421/ishares-msci-eafe-imi-index-etf" TargetMode="External"/><Relationship Id="rId19" Type="http://schemas.openxmlformats.org/officeDocument/2006/relationships/hyperlink" Target="https://www.blackrock.com/ca/investors/en/products/251423/ishares-msci-emerging-markets-imi-index-etf" TargetMode="External"/><Relationship Id="rId20" Type="http://schemas.openxmlformats.org/officeDocument/2006/relationships/hyperlink" Target="https://www.blackrock.com/ca/investors/en/products/239493/ishares-canadian-universe-bond-index-etf" TargetMode="External"/><Relationship Id="rId21" Type="http://schemas.openxmlformats.org/officeDocument/2006/relationships/hyperlink" Target="https://www.blackrock.com/ca/investors/en/products/239491/ishares-canadian-short-term-bond-index-etf" TargetMode="External"/><Relationship Id="rId22" Type="http://schemas.openxmlformats.org/officeDocument/2006/relationships/hyperlink" Target="https://www.blackrock.com/ca/investors/en/products/239858/ishares-us-high-yield-bond-index-etf-cadhedged-fund" TargetMode="External"/><Relationship Id="rId23" Type="http://schemas.openxmlformats.org/officeDocument/2006/relationships/hyperlink" Target="https://www.vanguard.ca/en/product/etf/asset-allocation/9578/vanguard-balanced-etf-portfolio" TargetMode="External"/></Relationships>
</file>

<file path=xl/worksheets/sheet1.xml><?xml version="1.0" encoding="utf-8"?>
<worksheet xmlns="http://schemas.openxmlformats.org/spreadsheetml/2006/main" xmlns:r="http://schemas.openxmlformats.org/officeDocument/2006/relationships">
  <sheetPr>
    <tabColor rgb="FF15324F"/>
    <pageSetUpPr fitToPage="1"/>
  </sheetPr>
  <dimension ref="A1:F16"/>
  <sheetViews>
    <sheetView showGridLines="0" tabSelected="1" workbookViewId="0">
      <pane ySplit="4" topLeftCell="A5" activePane="bottomLeft" state="frozen"/>
      <selection pane="bottomLeft"/>
    </sheetView>
  </sheetViews>
  <sheetFormatPr defaultRowHeight="15"/>
  <cols>
    <col min="1" max="1" width="36.7109375" customWidth="1"/>
    <col min="2" max="4" width="20.7109375" customWidth="1"/>
    <col min="5" max="6" width="22.7109375" customWidth="1"/>
    <col min="7" max="7" width="20.7109375" customWidth="1"/>
    <col min="8" max="8" width="4.7109375" customWidth="1"/>
  </cols>
  <sheetData>
    <row r="1" spans="1:6">
      <c r="A1" s="1" t="s">
        <v>177</v>
      </c>
    </row>
    <row r="2" spans="1:6">
      <c r="A2" s="2" t="s">
        <v>178</v>
      </c>
    </row>
    <row r="4" spans="1:6" ht="32" customHeight="1">
      <c r="A4" s="3" t="s">
        <v>179</v>
      </c>
      <c r="B4" s="3" t="s">
        <v>180</v>
      </c>
      <c r="C4" s="3" t="s">
        <v>181</v>
      </c>
      <c r="D4" s="3" t="s">
        <v>182</v>
      </c>
      <c r="E4" s="3" t="s">
        <v>183</v>
      </c>
      <c r="F4" s="3" t="s">
        <v>184</v>
      </c>
    </row>
    <row r="5" spans="1:6">
      <c r="A5" s="4">
        <f>Holdings!I14</f>
        <v>-0.005676684193404774</v>
      </c>
      <c r="B5" s="4">
        <f>Returns!F12</f>
        <v>-0.005027575524870653</v>
      </c>
      <c r="C5" s="5">
        <f>Returns!F14</f>
        <v>-0.0649108668534121</v>
      </c>
      <c r="D5" s="5">
        <f>Contributions!E12</f>
        <v>-0.029052147488205705</v>
      </c>
      <c r="E5" s="5">
        <f>Contributions!E13</f>
        <v>-0.5386162718522717</v>
      </c>
      <c r="F5" s="6" t="str">
        <f>Holdings!C23</f>
        <v>Maintain</v>
      </c>
    </row>
    <row r="7" spans="1:6" ht="24" customHeight="1">
      <c r="A7" s="7" t="s">
        <v>185</v>
      </c>
      <c r="B7" s="7"/>
      <c r="C7" s="7"/>
      <c r="D7" s="7"/>
      <c r="E7" s="7"/>
      <c r="F7" s="7"/>
    </row>
    <row r="9" spans="1:6">
      <c r="A9" s="8" t="s">
        <v>186</v>
      </c>
    </row>
    <row r="10" spans="1:6">
      <c r="A10" s="9" t="s">
        <v>81</v>
      </c>
      <c r="B10" s="3" t="s">
        <v>187</v>
      </c>
      <c r="C10" s="3" t="s">
        <v>188</v>
      </c>
      <c r="D10" s="3" t="s">
        <v>189</v>
      </c>
      <c r="E10" s="3" t="s">
        <v>4</v>
      </c>
      <c r="F10" s="3" t="s">
        <v>190</v>
      </c>
    </row>
    <row r="11" spans="1:6">
      <c r="A11" s="10" t="s">
        <v>191</v>
      </c>
      <c r="B11" s="11">
        <v>1.3866</v>
      </c>
      <c r="C11" s="11">
        <v>1.4188</v>
      </c>
      <c r="D11" s="12">
        <f>C11/B11-1</f>
        <v>0.02322227030145685</v>
      </c>
      <c r="E11" s="13" t="s">
        <v>192</v>
      </c>
      <c r="F11" s="14">
        <v>46294</v>
      </c>
    </row>
    <row r="12" spans="1:6">
      <c r="A12" s="10" t="s">
        <v>193</v>
      </c>
      <c r="B12" s="15">
        <v>3.01</v>
      </c>
      <c r="C12" s="15">
        <v>3.37</v>
      </c>
      <c r="D12" s="16">
        <f>(C12-B12)*100</f>
        <v>36.00000000000003</v>
      </c>
      <c r="E12" s="13" t="s">
        <v>194</v>
      </c>
      <c r="F12" s="14">
        <v>46294</v>
      </c>
    </row>
    <row r="13" spans="1:6">
      <c r="A13" s="10" t="s">
        <v>195</v>
      </c>
      <c r="B13" s="15">
        <v>3.73</v>
      </c>
      <c r="C13" s="15">
        <v>3.99</v>
      </c>
      <c r="D13" s="16">
        <f>(C13-B13)*100</f>
        <v>26.00000000000002</v>
      </c>
      <c r="E13" s="13" t="s">
        <v>194</v>
      </c>
      <c r="F13" s="14">
        <v>46294</v>
      </c>
    </row>
    <row r="14" spans="1:6">
      <c r="A14" s="10" t="s">
        <v>196</v>
      </c>
      <c r="B14" s="15">
        <v>2.25</v>
      </c>
      <c r="C14" s="15">
        <v>2.25</v>
      </c>
      <c r="D14" s="16">
        <f>(C14-B14)*100</f>
        <v>0.0</v>
      </c>
      <c r="E14" s="13" t="s">
        <v>194</v>
      </c>
      <c r="F14" s="14">
        <v>46295</v>
      </c>
    </row>
    <row r="16" spans="1:6" ht="30" customHeight="1">
      <c r="A16" s="17" t="s">
        <v>197</v>
      </c>
      <c r="B16" s="17"/>
      <c r="C16" s="17"/>
      <c r="D16" s="17"/>
      <c r="E16" s="17"/>
      <c r="F16" s="17"/>
    </row>
  </sheetData>
  <autoFilter ref="A10:F14"/>
  <mergeCells count="2">
    <mergeCell ref="A7:F7"/>
    <mergeCell ref="A16:F16"/>
  </mergeCells>
  <pageMargins left="0.7" right="0.7" top="0.75" bottom="0.75" header="0.3" footer="0.3"/>
  <pageSetup paperSize="1" fitToHeight="0" orientation="landscape"/>
  <drawing r:id="rId1"/>
</worksheet>
</file>

<file path=xl/worksheets/sheet2.xml><?xml version="1.0" encoding="utf-8"?>
<worksheet xmlns="http://schemas.openxmlformats.org/spreadsheetml/2006/main" xmlns:r="http://schemas.openxmlformats.org/officeDocument/2006/relationships">
  <sheetPr>
    <tabColor rgb="FF15324F"/>
    <pageSetUpPr fitToPage="1"/>
  </sheetPr>
  <dimension ref="A1:N25"/>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9.7109375" customWidth="1"/>
    <col min="2" max="2" width="52.7109375" customWidth="1"/>
    <col min="3" max="3" width="13.7109375" customWidth="1"/>
    <col min="4" max="4" width="42.7109375" customWidth="1"/>
    <col min="5" max="5" width="9.7109375" customWidth="1"/>
    <col min="6" max="7" width="11.7109375" customWidth="1"/>
    <col min="8" max="8" width="13.7109375" customWidth="1"/>
    <col min="9" max="9" width="11.7109375" customWidth="1"/>
    <col min="10" max="10" width="13.7109375" customWidth="1"/>
    <col min="11" max="11" width="11.7109375" customWidth="1"/>
    <col min="12" max="13" width="12.7109375" customWidth="1"/>
    <col min="14" max="14" width="52.7109375" customWidth="1"/>
  </cols>
  <sheetData>
    <row r="1" spans="1:14">
      <c r="A1" s="1" t="s">
        <v>98</v>
      </c>
    </row>
    <row r="2" spans="1:14">
      <c r="A2" s="2" t="s">
        <v>99</v>
      </c>
    </row>
    <row r="4" spans="1:14" ht="32" customHeight="1">
      <c r="A4" s="9" t="s">
        <v>100</v>
      </c>
      <c r="B4" s="9" t="s">
        <v>101</v>
      </c>
      <c r="C4" s="9" t="s">
        <v>102</v>
      </c>
      <c r="D4" s="9" t="s">
        <v>103</v>
      </c>
      <c r="E4" s="3" t="s">
        <v>14</v>
      </c>
      <c r="F4" s="3" t="s">
        <v>104</v>
      </c>
      <c r="G4" s="3" t="s">
        <v>105</v>
      </c>
      <c r="H4" s="3" t="s">
        <v>106</v>
      </c>
      <c r="I4" s="3" t="s">
        <v>86</v>
      </c>
      <c r="J4" s="3" t="s">
        <v>107</v>
      </c>
      <c r="K4" s="3" t="s">
        <v>108</v>
      </c>
      <c r="L4" s="3" t="s">
        <v>109</v>
      </c>
      <c r="M4" s="3" t="s">
        <v>110</v>
      </c>
      <c r="N4" s="9" t="s">
        <v>111</v>
      </c>
    </row>
    <row r="5" spans="1:14" ht="30" customHeight="1">
      <c r="A5" s="10" t="s">
        <v>112</v>
      </c>
      <c r="B5" s="10" t="s">
        <v>113</v>
      </c>
      <c r="C5" s="10" t="s">
        <v>114</v>
      </c>
      <c r="D5" s="10" t="s">
        <v>115</v>
      </c>
      <c r="E5" s="10" t="s">
        <v>15</v>
      </c>
      <c r="F5" s="18">
        <v>0.2</v>
      </c>
      <c r="G5" s="18">
        <v>0.2034677157644891</v>
      </c>
      <c r="H5" s="19">
        <f>Start_Value*G5</f>
        <v>20611.012875314897</v>
      </c>
      <c r="I5" s="12">
        <f>Returns!F5</f>
        <v>-0.02651596598779138</v>
      </c>
      <c r="J5" s="19">
        <f>H5*(1+I5)</f>
        <v>20064.491958939117</v>
      </c>
      <c r="K5" s="20">
        <f>J5/J$14</f>
        <v>0.19920338745449997</v>
      </c>
      <c r="L5" s="21">
        <f>(K5-F5)*100</f>
        <v>-0.07966125455000361</v>
      </c>
      <c r="M5" s="21">
        <f>(F5-K5)*100</f>
        <v>0.07966125455000361</v>
      </c>
      <c r="N5" s="22" t="s">
        <v>116</v>
      </c>
    </row>
    <row r="6" spans="1:14" ht="30" customHeight="1">
      <c r="A6" s="10" t="s">
        <v>117</v>
      </c>
      <c r="B6" s="10" t="s">
        <v>118</v>
      </c>
      <c r="C6" s="10" t="s">
        <v>114</v>
      </c>
      <c r="D6" s="10" t="s">
        <v>119</v>
      </c>
      <c r="E6" s="10" t="s">
        <v>15</v>
      </c>
      <c r="F6" s="18">
        <v>0.25</v>
      </c>
      <c r="G6" s="18">
        <v>0.2505808878830916</v>
      </c>
      <c r="H6" s="19">
        <f>Start_Value*G6</f>
        <v>25383.51544892917</v>
      </c>
      <c r="I6" s="12">
        <f>Returns!F6</f>
        <v>0.01934621570770023</v>
      </c>
      <c r="J6" s="19">
        <f>H6*(1+I6)</f>
        <v>25874.590414223894</v>
      </c>
      <c r="K6" s="20">
        <f>J6/J$14</f>
        <v>0.2568869458573454</v>
      </c>
      <c r="L6" s="21">
        <f>(K6-F6)*100</f>
        <v>0.6886945857345395</v>
      </c>
      <c r="M6" s="21">
        <f>(F6-K6)*100</f>
        <v>-0.6886945857345395</v>
      </c>
      <c r="N6" s="22" t="s">
        <v>120</v>
      </c>
    </row>
    <row r="7" spans="1:14" ht="30" customHeight="1">
      <c r="A7" s="10" t="s">
        <v>121</v>
      </c>
      <c r="B7" s="10" t="s">
        <v>122</v>
      </c>
      <c r="C7" s="10" t="s">
        <v>114</v>
      </c>
      <c r="D7" s="10" t="s">
        <v>123</v>
      </c>
      <c r="E7" s="10" t="s">
        <v>15</v>
      </c>
      <c r="F7" s="18">
        <v>0.1</v>
      </c>
      <c r="G7" s="18">
        <v>0.09966955078851765</v>
      </c>
      <c r="H7" s="19">
        <f>Start_Value*G7</f>
        <v>10096.39483522192</v>
      </c>
      <c r="I7" s="12">
        <f>Returns!F7</f>
        <v>-0.008115318803296745</v>
      </c>
      <c r="J7" s="19">
        <f>H7*(1+I7)</f>
        <v>10014.459372370135</v>
      </c>
      <c r="K7" s="20">
        <f>J7/J$14</f>
        <v>0.09942510553389934</v>
      </c>
      <c r="L7" s="21">
        <f>(K7-F7)*100</f>
        <v>-0.05748944661006644</v>
      </c>
      <c r="M7" s="21">
        <f>(F7-K7)*100</f>
        <v>0.05748944661006644</v>
      </c>
      <c r="N7" s="22" t="s">
        <v>124</v>
      </c>
    </row>
    <row r="8" spans="1:14" ht="30" customHeight="1">
      <c r="A8" s="10" t="s">
        <v>125</v>
      </c>
      <c r="B8" s="10" t="s">
        <v>126</v>
      </c>
      <c r="C8" s="10" t="s">
        <v>114</v>
      </c>
      <c r="D8" s="10" t="s">
        <v>127</v>
      </c>
      <c r="E8" s="10" t="s">
        <v>15</v>
      </c>
      <c r="F8" s="18">
        <v>0.05</v>
      </c>
      <c r="G8" s="18">
        <v>0.05144374741074122</v>
      </c>
      <c r="H8" s="19">
        <f>Start_Value*G8</f>
        <v>5211.18417363335</v>
      </c>
      <c r="I8" s="12">
        <f>Returns!F8</f>
        <v>0.0207154392904334</v>
      </c>
      <c r="J8" s="19">
        <f>H8*(1+I8)</f>
        <v>5319.136143013519</v>
      </c>
      <c r="K8" s="20">
        <f>J8/J$14</f>
        <v>0.05280920843589508</v>
      </c>
      <c r="L8" s="21">
        <f>(K8-F8)*100</f>
        <v>0.28092084358950775</v>
      </c>
      <c r="M8" s="21">
        <f>(F8-K8)*100</f>
        <v>-0.28092084358950775</v>
      </c>
      <c r="N8" s="22" t="s">
        <v>128</v>
      </c>
    </row>
    <row r="9" spans="1:14" ht="30" customHeight="1">
      <c r="A9" s="10" t="s">
        <v>129</v>
      </c>
      <c r="B9" s="10" t="s">
        <v>130</v>
      </c>
      <c r="C9" s="10" t="s">
        <v>131</v>
      </c>
      <c r="D9" s="10" t="s">
        <v>132</v>
      </c>
      <c r="E9" s="10" t="s">
        <v>15</v>
      </c>
      <c r="F9" s="18">
        <v>0.25</v>
      </c>
      <c r="G9" s="18">
        <v>0.2462679180112312</v>
      </c>
      <c r="H9" s="19">
        <f>Start_Value*G9</f>
        <v>24946.617254904853</v>
      </c>
      <c r="I9" s="12">
        <f>Returns!F9</f>
        <v>-0.01264925258231453</v>
      </c>
      <c r="J9" s="19">
        <f>H9*(1+I9)</f>
        <v>24631.061192173234</v>
      </c>
      <c r="K9" s="20">
        <f>J9/J$14</f>
        <v>0.24454099491385342</v>
      </c>
      <c r="L9" s="21">
        <f>(K9-F9)*100</f>
        <v>-0.5459005086146579</v>
      </c>
      <c r="M9" s="21">
        <f>(F9-K9)*100</f>
        <v>0.5459005086146579</v>
      </c>
      <c r="N9" s="22" t="s">
        <v>133</v>
      </c>
    </row>
    <row r="10" spans="1:14" ht="30" customHeight="1">
      <c r="A10" s="10" t="s">
        <v>134</v>
      </c>
      <c r="B10" s="10" t="s">
        <v>135</v>
      </c>
      <c r="C10" s="10" t="s">
        <v>131</v>
      </c>
      <c r="D10" s="10" t="s">
        <v>136</v>
      </c>
      <c r="E10" s="10" t="s">
        <v>15</v>
      </c>
      <c r="F10" s="18">
        <v>0.1</v>
      </c>
      <c r="G10" s="18">
        <v>0.09889472273933463</v>
      </c>
      <c r="H10" s="19">
        <f>Start_Value*G10</f>
        <v>10017.905769583853</v>
      </c>
      <c r="I10" s="12">
        <f>Returns!F10</f>
        <v>-0.007557069256379445</v>
      </c>
      <c r="J10" s="19">
        <f>H10*(1+I10)</f>
        <v>9942.199761879225</v>
      </c>
      <c r="K10" s="20">
        <f>J10/J$14</f>
        <v>0.09870770091606056</v>
      </c>
      <c r="L10" s="21">
        <f>(K10-F10)*100</f>
        <v>-0.12922990839394494</v>
      </c>
      <c r="M10" s="21">
        <f>(F10-K10)*100</f>
        <v>0.12922990839394494</v>
      </c>
      <c r="N10" s="22" t="s">
        <v>137</v>
      </c>
    </row>
    <row r="11" spans="1:14" ht="30" customHeight="1">
      <c r="A11" s="10" t="s">
        <v>138</v>
      </c>
      <c r="B11" s="10" t="s">
        <v>139</v>
      </c>
      <c r="C11" s="10" t="s">
        <v>131</v>
      </c>
      <c r="D11" s="10" t="s">
        <v>140</v>
      </c>
      <c r="E11" s="10" t="s">
        <v>15</v>
      </c>
      <c r="F11" s="18">
        <v>0.05</v>
      </c>
      <c r="G11" s="18">
        <v>0.04967545740259453</v>
      </c>
      <c r="H11" s="19">
        <f>Start_Value*G11</f>
        <v>5032.0587139098625</v>
      </c>
      <c r="I11" s="12">
        <f>Returns!F11</f>
        <v>-0.030673161990185327</v>
      </c>
      <c r="J11" s="19">
        <f>H11*(1+I11)</f>
        <v>4877.709561833982</v>
      </c>
      <c r="K11" s="20">
        <f>J11/J$14</f>
        <v>0.04842665688844629</v>
      </c>
      <c r="L11" s="21">
        <f>(K11-F11)*100</f>
        <v>-0.15733431115537155</v>
      </c>
      <c r="M11" s="21">
        <f>(F11-K11)*100</f>
        <v>0.15733431115537155</v>
      </c>
      <c r="N11" s="22" t="s">
        <v>141</v>
      </c>
    </row>
    <row r="12" spans="1:14">
      <c r="A12" s="23"/>
      <c r="B12" s="23" t="s">
        <v>142</v>
      </c>
      <c r="C12" s="23" t="s">
        <v>114</v>
      </c>
      <c r="D12" s="23"/>
      <c r="E12" s="23"/>
      <c r="F12" s="24">
        <f>SUMIF($C$5:$C$11,$C12,F$5:F$11)</f>
        <v>0.6</v>
      </c>
      <c r="G12" s="24">
        <f>SUMIF($C$5:$C$11,$C12,G$5:G$11)</f>
        <v>0.6051619018468396</v>
      </c>
      <c r="H12" s="25">
        <f>SUMIF($C$5:$C$11,$C12,H$5:H$11)</f>
        <v>61302.10733309934</v>
      </c>
      <c r="I12" s="4">
        <f>J12/H12-1</f>
        <v>-0.0004800723145251551</v>
      </c>
      <c r="J12" s="25">
        <f>SUMIF($C$5:$C$11,$C12,J$5:J$11)</f>
        <v>61272.67788854667</v>
      </c>
      <c r="K12" s="24">
        <f>SUMIF($C$5:$C$11,$C12,K$5:K$11)</f>
        <v>0.6083246472816397</v>
      </c>
      <c r="L12" s="5">
        <f>(K12-F12)*100</f>
        <v>0.832464728163973</v>
      </c>
      <c r="M12" s="23"/>
      <c r="N12" s="23"/>
    </row>
    <row r="13" spans="1:14">
      <c r="A13" s="23"/>
      <c r="B13" s="23" t="s">
        <v>143</v>
      </c>
      <c r="C13" s="23" t="s">
        <v>131</v>
      </c>
      <c r="D13" s="23"/>
      <c r="E13" s="23"/>
      <c r="F13" s="24">
        <f>SUMIF($C$5:$C$11,$C13,F$5:F$11)</f>
        <v>0.4</v>
      </c>
      <c r="G13" s="24">
        <f>SUMIF($C$5:$C$11,$C13,G$5:G$11)</f>
        <v>0.3948380981531604</v>
      </c>
      <c r="H13" s="25">
        <f>SUMIF($C$5:$C$11,$C13,H$5:H$11)</f>
        <v>39996.58173839857</v>
      </c>
      <c r="I13" s="4">
        <f>J13/H13-1</f>
        <v>-0.01364144631360621</v>
      </c>
      <c r="J13" s="25">
        <f>SUMIF($C$5:$C$11,$C13,J$5:J$11)</f>
        <v>39450.970515886445</v>
      </c>
      <c r="K13" s="24">
        <f>SUMIF($C$5:$C$11,$C13,K$5:K$11)</f>
        <v>0.3916753527183603</v>
      </c>
      <c r="L13" s="5">
        <f>(K13-F13)*100</f>
        <v>-0.832464728163973</v>
      </c>
      <c r="M13" s="23"/>
      <c r="N13" s="23"/>
    </row>
    <row r="14" spans="1:14">
      <c r="A14" s="23"/>
      <c r="B14" s="23" t="s">
        <v>144</v>
      </c>
      <c r="C14" s="23"/>
      <c r="D14" s="23"/>
      <c r="E14" s="23"/>
      <c r="F14" s="24">
        <f>SUM(F5:F11)</f>
        <v>1.0</v>
      </c>
      <c r="G14" s="24">
        <f>SUM(G5:G11)</f>
        <v>1.0</v>
      </c>
      <c r="H14" s="25">
        <f>SUM(H5:H11)</f>
        <v>101298.68907149791</v>
      </c>
      <c r="I14" s="4">
        <f>J14/H14-1</f>
        <v>-0.005676684193404774</v>
      </c>
      <c r="J14" s="25">
        <f>SUM(J5:J11)</f>
        <v>100723.64840443312</v>
      </c>
      <c r="K14" s="24">
        <f>SUM(K5:K11)</f>
        <v>1.0</v>
      </c>
      <c r="L14" s="23"/>
      <c r="M14" s="23"/>
      <c r="N14" s="23"/>
    </row>
    <row r="15" spans="1:14">
      <c r="B15" s="10" t="s">
        <v>145</v>
      </c>
      <c r="C15" s="26" t="str">
        <f>IF(AND(ABS(F14-1)&lt;=Tol,ABS(G14-1)&lt;=Tol,ABS(K14-1)&lt;=Tol),"OK","CHECK")</f>
        <v>OK</v>
      </c>
    </row>
    <row r="17" spans="1:14">
      <c r="A17" s="8" t="s">
        <v>146</v>
      </c>
    </row>
    <row r="18" spans="1:14" ht="78" customHeight="1">
      <c r="A18" s="10" t="s">
        <v>147</v>
      </c>
      <c r="B18" s="10" t="s">
        <v>148</v>
      </c>
      <c r="C18" s="10" t="s">
        <v>149</v>
      </c>
      <c r="D18" s="10" t="s">
        <v>150</v>
      </c>
      <c r="E18" s="10" t="s">
        <v>15</v>
      </c>
      <c r="I18" s="12">
        <f>Returns!F12</f>
        <v>-0.005027575524870653</v>
      </c>
      <c r="N18" s="22" t="s">
        <v>151</v>
      </c>
    </row>
    <row r="20" spans="1:14">
      <c r="A20" s="8" t="s">
        <v>152</v>
      </c>
    </row>
    <row r="21" spans="1:14">
      <c r="B21" s="10" t="s">
        <v>153</v>
      </c>
      <c r="C21" s="27">
        <f>MAX(ABS(L12),ABS(L13))</f>
        <v>0.832464728163973</v>
      </c>
    </row>
    <row r="22" spans="1:14">
      <c r="B22" s="10" t="s">
        <v>154</v>
      </c>
      <c r="C22" s="27">
        <f>MAX(ABS(MIN(L5:L11)),MAX(L5:L11))</f>
        <v>0.6886945857345395</v>
      </c>
    </row>
    <row r="23" spans="1:14">
      <c r="B23" s="10" t="s">
        <v>155</v>
      </c>
      <c r="C23" s="26" t="str">
        <f>IF(OR(C21&gt;Class_Band,C22&gt;Hold_Band),"Rebalance","Maintain")</f>
        <v>Maintain</v>
      </c>
    </row>
    <row r="24" spans="1:14">
      <c r="B24" s="10" t="s">
        <v>156</v>
      </c>
      <c r="C24" s="28">
        <f>SUMPRODUCT(ABS(M5:M11))/2/100</f>
        <v>0.009696154293240458</v>
      </c>
    </row>
    <row r="25" spans="1:14">
      <c r="B25" s="10" t="s">
        <v>157</v>
      </c>
      <c r="C25" s="29">
        <f>J14*C24*Cost_bps/10000</f>
        <v>0.0</v>
      </c>
    </row>
  </sheetData>
  <autoFilter ref="A4:N11"/>
  <pageMargins left="0.7" right="0.7" top="0.75" bottom="0.75" header="0.3" footer="0.3"/>
  <pageSetup paperSize="1" fitToHeight="0" orientation="landscape"/>
</worksheet>
</file>

<file path=xl/worksheets/sheet3.xml><?xml version="1.0" encoding="utf-8"?>
<worksheet xmlns="http://schemas.openxmlformats.org/spreadsheetml/2006/main" xmlns:r="http://schemas.openxmlformats.org/officeDocument/2006/relationships">
  <sheetPr>
    <tabColor rgb="FF15324F"/>
  </sheetPr>
  <dimension ref="A1:AL26"/>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44.7109375" customWidth="1"/>
    <col min="2" max="3" width="13.7109375" customWidth="1"/>
    <col min="4" max="4" width="15.7109375" customWidth="1"/>
    <col min="5" max="6" width="13.7109375" customWidth="1"/>
    <col min="7" max="10" width="3.7109375" customWidth="1"/>
    <col min="11" max="11" width="13.7109375" customWidth="1"/>
    <col min="12" max="38" width="14.7109375" customWidth="1"/>
  </cols>
  <sheetData>
    <row r="1" spans="1:38">
      <c r="A1" s="1" t="s">
        <v>51</v>
      </c>
    </row>
    <row r="2" spans="1:38">
      <c r="A2" s="2" t="s">
        <v>52</v>
      </c>
    </row>
    <row r="4" spans="1:38" ht="44" customHeight="1">
      <c r="A4" s="9" t="s">
        <v>81</v>
      </c>
      <c r="B4" s="3" t="s">
        <v>82</v>
      </c>
      <c r="C4" s="3" t="s">
        <v>83</v>
      </c>
      <c r="D4" s="3" t="s">
        <v>84</v>
      </c>
      <c r="E4" s="3" t="s">
        <v>85</v>
      </c>
      <c r="F4" s="3" t="s">
        <v>86</v>
      </c>
      <c r="K4" s="3" t="s">
        <v>53</v>
      </c>
      <c r="L4" s="3" t="s">
        <v>54</v>
      </c>
      <c r="M4" s="3" t="s">
        <v>57</v>
      </c>
      <c r="N4" s="3" t="s">
        <v>60</v>
      </c>
      <c r="O4" s="3" t="s">
        <v>63</v>
      </c>
      <c r="P4" s="3" t="s">
        <v>66</v>
      </c>
      <c r="Q4" s="3" t="s">
        <v>69</v>
      </c>
      <c r="R4" s="3" t="s">
        <v>72</v>
      </c>
      <c r="S4" s="3" t="s">
        <v>75</v>
      </c>
      <c r="T4" s="3" t="s">
        <v>55</v>
      </c>
      <c r="U4" s="3" t="s">
        <v>58</v>
      </c>
      <c r="V4" s="3" t="s">
        <v>61</v>
      </c>
      <c r="W4" s="3" t="s">
        <v>64</v>
      </c>
      <c r="X4" s="3" t="s">
        <v>67</v>
      </c>
      <c r="Y4" s="3" t="s">
        <v>70</v>
      </c>
      <c r="Z4" s="3" t="s">
        <v>73</v>
      </c>
      <c r="AA4" s="3" t="s">
        <v>76</v>
      </c>
      <c r="AB4" s="3" t="s">
        <v>56</v>
      </c>
      <c r="AC4" s="3" t="s">
        <v>59</v>
      </c>
      <c r="AD4" s="3" t="s">
        <v>62</v>
      </c>
      <c r="AE4" s="3" t="s">
        <v>65</v>
      </c>
      <c r="AF4" s="3" t="s">
        <v>68</v>
      </c>
      <c r="AG4" s="3" t="s">
        <v>71</v>
      </c>
      <c r="AH4" s="3" t="s">
        <v>74</v>
      </c>
      <c r="AI4" s="3" t="s">
        <v>77</v>
      </c>
      <c r="AJ4" s="3" t="s">
        <v>78</v>
      </c>
      <c r="AK4" s="3" t="s">
        <v>79</v>
      </c>
      <c r="AL4" s="3" t="s">
        <v>80</v>
      </c>
    </row>
    <row r="5" spans="1:38">
      <c r="A5" s="10" t="s">
        <v>87</v>
      </c>
      <c r="B5" s="30">
        <f>L5</f>
        <v>58.02000045776367</v>
      </c>
      <c r="C5" s="30">
        <f>L26</f>
        <v>56.20000076293945</v>
      </c>
      <c r="D5" s="30">
        <f>SUM(T5:T26)</f>
        <v>0.285</v>
      </c>
      <c r="E5" s="12">
        <f>C5/B5-1</f>
        <v>-0.031368488115561255</v>
      </c>
      <c r="F5" s="12">
        <f>AB26/AB5-1</f>
        <v>-0.02651596598779138</v>
      </c>
      <c r="K5" s="14">
        <v>46265</v>
      </c>
      <c r="L5" s="11">
        <v>58.02000045776367</v>
      </c>
      <c r="M5" s="11">
        <v>78.09999847412109</v>
      </c>
      <c r="N5" s="11">
        <v>52.36999893188477</v>
      </c>
      <c r="O5" s="11">
        <v>44.16999816894531</v>
      </c>
      <c r="P5" s="11">
        <v>27.60000038146973</v>
      </c>
      <c r="Q5" s="11">
        <v>26.72999954223633</v>
      </c>
      <c r="R5" s="11">
        <v>16.20000076293945</v>
      </c>
      <c r="S5" s="11">
        <v>39.77999877929688</v>
      </c>
      <c r="T5" s="11">
        <v>0</v>
      </c>
      <c r="U5" s="11">
        <v>0</v>
      </c>
      <c r="V5" s="11">
        <v>0</v>
      </c>
      <c r="W5" s="11">
        <v>0</v>
      </c>
      <c r="X5" s="11">
        <v>0</v>
      </c>
      <c r="Y5" s="11">
        <v>0</v>
      </c>
      <c r="Z5" s="11">
        <v>0</v>
      </c>
      <c r="AA5" s="11">
        <v>0</v>
      </c>
      <c r="AB5" s="31">
        <v>1</v>
      </c>
      <c r="AC5" s="31">
        <v>1</v>
      </c>
      <c r="AD5" s="31">
        <v>1</v>
      </c>
      <c r="AE5" s="31">
        <v>1</v>
      </c>
      <c r="AF5" s="31">
        <v>1</v>
      </c>
      <c r="AG5" s="31">
        <v>1</v>
      </c>
      <c r="AH5" s="31">
        <v>1</v>
      </c>
      <c r="AI5" s="31">
        <v>1</v>
      </c>
      <c r="AJ5" s="12">
        <f>Holdings!$G$5*AB5+Holdings!$G$6*AC5+Holdings!$G$7*AD5+Holdings!$G$8*AE5+Holdings!$G$9*AF5+Holdings!$G$10*AG5+Holdings!$G$11*AH5-1</f>
        <v>0.0</v>
      </c>
      <c r="AK5" s="12">
        <f>AI5-1</f>
        <v>0.0</v>
      </c>
      <c r="AL5" s="12">
        <f>AJ5-AK5</f>
        <v>0.0</v>
      </c>
    </row>
    <row r="6" spans="1:38">
      <c r="A6" s="10" t="s">
        <v>88</v>
      </c>
      <c r="B6" s="30">
        <f>M5</f>
        <v>78.0999984741211</v>
      </c>
      <c r="C6" s="30">
        <f>M26</f>
        <v>79.44000244140625</v>
      </c>
      <c r="D6" s="30">
        <f>SUM(U5:U26)</f>
        <v>0.171</v>
      </c>
      <c r="E6" s="12">
        <f>C6/B6-1</f>
        <v>0.017157541529647657</v>
      </c>
      <c r="F6" s="12">
        <f>AC26/AC5-1</f>
        <v>0.01934621570770023</v>
      </c>
      <c r="K6" s="14">
        <v>46266</v>
      </c>
      <c r="L6" s="11">
        <v>57.31000137329102</v>
      </c>
      <c r="M6" s="11">
        <v>78.15000152587891</v>
      </c>
      <c r="N6" s="11">
        <v>52.09000015258789</v>
      </c>
      <c r="O6" s="11">
        <v>44.06999969482422</v>
      </c>
      <c r="P6" s="11">
        <v>27.59000015258789</v>
      </c>
      <c r="Q6" s="11">
        <v>26.71999931335449</v>
      </c>
      <c r="R6" s="11">
        <v>16.17000007629395</v>
      </c>
      <c r="S6" s="11">
        <v>39.58000183105469</v>
      </c>
      <c r="T6" s="11">
        <v>0</v>
      </c>
      <c r="U6" s="11">
        <v>0</v>
      </c>
      <c r="V6" s="11">
        <v>0</v>
      </c>
      <c r="W6" s="11">
        <v>0</v>
      </c>
      <c r="X6" s="11">
        <v>0</v>
      </c>
      <c r="Y6" s="11">
        <v>0</v>
      </c>
      <c r="Z6" s="11">
        <v>0</v>
      </c>
      <c r="AA6" s="11">
        <v>0</v>
      </c>
      <c r="AB6" s="31">
        <f>AB5*(L6+T6)/L5</f>
        <v>0.9877628562759232</v>
      </c>
      <c r="AC6" s="31">
        <f>AC5*(M6+U6)/M5</f>
        <v>1.0006402439530697</v>
      </c>
      <c r="AD6" s="31">
        <f>AD5*(N6+V6)/N5</f>
        <v>0.9946534507350084</v>
      </c>
      <c r="AE6" s="31">
        <f>AE5*(O6+W6)/O5</f>
        <v>0.9977360543747679</v>
      </c>
      <c r="AF6" s="31">
        <f>AF5*(P6+X6)/P5</f>
        <v>0.999637672871608</v>
      </c>
      <c r="AG6" s="31">
        <f>AG5*(Q6+Y6)/Q5</f>
        <v>0.9996258799456381</v>
      </c>
      <c r="AH6" s="31">
        <f>AH5*(R6+Z6)/R5</f>
        <v>0.9981481058498379</v>
      </c>
      <c r="AI6" s="31">
        <f>AI5*(S6+AA6)/S5</f>
        <v>0.9949724244751291</v>
      </c>
      <c r="AJ6" s="12">
        <f>Holdings!$G$5*AB6+Holdings!$G$6*AC6+Holdings!$G$7*AD6+Holdings!$G$8*AE6+Holdings!$G$9*AF6+Holdings!$G$10*AG6+Holdings!$G$11*AH6-1</f>
        <v>-0.0031970065287700855</v>
      </c>
      <c r="AK6" s="12">
        <f>AI6-1</f>
        <v>-0.005027575524870875</v>
      </c>
      <c r="AL6" s="12">
        <f>AJ6-AK6</f>
        <v>0.0018305689961007898</v>
      </c>
    </row>
    <row r="7" spans="1:38">
      <c r="A7" s="10" t="s">
        <v>89</v>
      </c>
      <c r="B7" s="30">
        <f>N5</f>
        <v>52.369998931884766</v>
      </c>
      <c r="C7" s="30">
        <f>N26</f>
        <v>51.94499969482422</v>
      </c>
      <c r="D7" s="30">
        <f>SUM(V5:V26)</f>
        <v>0.0</v>
      </c>
      <c r="E7" s="12">
        <f>C7/B7-1</f>
        <v>-0.008115318803296634</v>
      </c>
      <c r="F7" s="12">
        <f>AD26/AD5-1</f>
        <v>-0.008115318803296745</v>
      </c>
      <c r="K7" s="14">
        <v>46267</v>
      </c>
      <c r="L7" s="11">
        <v>57.7400016784668</v>
      </c>
      <c r="M7" s="11">
        <v>77.69999694824219</v>
      </c>
      <c r="N7" s="11">
        <v>52.04999923706055</v>
      </c>
      <c r="O7" s="11">
        <v>44.11999893188477</v>
      </c>
      <c r="P7" s="11">
        <v>27.52000045776367</v>
      </c>
      <c r="Q7" s="11">
        <v>26.65999984741211</v>
      </c>
      <c r="R7" s="11">
        <v>16.13999938964844</v>
      </c>
      <c r="S7" s="11">
        <v>39.61999893188477</v>
      </c>
      <c r="T7" s="11">
        <v>0</v>
      </c>
      <c r="U7" s="11">
        <v>0</v>
      </c>
      <c r="V7" s="11">
        <v>0</v>
      </c>
      <c r="W7" s="11">
        <v>0</v>
      </c>
      <c r="X7" s="11">
        <v>0</v>
      </c>
      <c r="Y7" s="11">
        <v>0</v>
      </c>
      <c r="Z7" s="11">
        <v>0</v>
      </c>
      <c r="AA7" s="11">
        <v>0</v>
      </c>
      <c r="AB7" s="31">
        <f>AB6*(L7+T7)/L6</f>
        <v>0.9951740989815968</v>
      </c>
      <c r="AC7" s="31">
        <f>AC6*(M7+U7)/M6</f>
        <v>0.9948783414379777</v>
      </c>
      <c r="AD7" s="31">
        <f>AD6*(N7+V7)/N6</f>
        <v>0.9938896371710751</v>
      </c>
      <c r="AE7" s="31">
        <f>AE6*(O7+W7)/O6</f>
        <v>0.998868027187384</v>
      </c>
      <c r="AF7" s="31">
        <f>AF6*(P7+X7)/P6</f>
        <v>0.9971014520796976</v>
      </c>
      <c r="AG7" s="31">
        <f>AG6*(Q7+Y7)/Q6</f>
        <v>0.9973812309755707</v>
      </c>
      <c r="AH7" s="31">
        <f>AH6*(R7+Z7)/R6</f>
        <v>0.9962962116996759</v>
      </c>
      <c r="AI7" s="31">
        <f>AI6*(S7+AA7)/S6</f>
        <v>0.9959778820431895</v>
      </c>
      <c r="AJ7" s="12">
        <f>Holdings!$G$5*AB7+Holdings!$G$6*AC7+Holdings!$G$7*AD7+Holdings!$G$8*AE7+Holdings!$G$9*AF7+Holdings!$G$10*AG7+Holdings!$G$11*AH7-1</f>
        <v>-0.004089344024506336</v>
      </c>
      <c r="AK7" s="12">
        <f>AI7-1</f>
        <v>-0.004022117956810511</v>
      </c>
      <c r="AL7" s="12">
        <f>AJ7-AK7</f>
        <v>-6.722606769582473e-05</v>
      </c>
    </row>
    <row r="8" spans="1:38">
      <c r="A8" s="10" t="s">
        <v>90</v>
      </c>
      <c r="B8" s="30">
        <f>O5</f>
        <v>44.16999816894531</v>
      </c>
      <c r="C8" s="30">
        <f>O26</f>
        <v>45.084999084472656</v>
      </c>
      <c r="D8" s="30">
        <f>SUM(W5:W26)</f>
        <v>0.0</v>
      </c>
      <c r="E8" s="12">
        <f>C8/B8-1</f>
        <v>0.0207154392904334</v>
      </c>
      <c r="F8" s="12">
        <f>AE26/AE5-1</f>
        <v>0.0207154392904334</v>
      </c>
      <c r="K8" s="14">
        <v>46268</v>
      </c>
      <c r="L8" s="11">
        <v>58.61999893188477</v>
      </c>
      <c r="M8" s="11">
        <v>78.26000213623047</v>
      </c>
      <c r="N8" s="11">
        <v>52.47999954223633</v>
      </c>
      <c r="O8" s="11">
        <v>44.15999984741211</v>
      </c>
      <c r="P8" s="11">
        <v>27.53000068664551</v>
      </c>
      <c r="Q8" s="11">
        <v>26.67000007629395</v>
      </c>
      <c r="R8" s="11">
        <v>16.15999984741211</v>
      </c>
      <c r="S8" s="11">
        <v>39.84999847412109</v>
      </c>
      <c r="T8" s="11">
        <v>0</v>
      </c>
      <c r="U8" s="11">
        <v>0</v>
      </c>
      <c r="V8" s="11">
        <v>0</v>
      </c>
      <c r="W8" s="11">
        <v>0</v>
      </c>
      <c r="X8" s="11">
        <v>0</v>
      </c>
      <c r="Y8" s="11">
        <v>0</v>
      </c>
      <c r="Z8" s="11">
        <v>0</v>
      </c>
      <c r="AA8" s="11">
        <v>0</v>
      </c>
      <c r="AB8" s="31">
        <f>AB7*(L8+T8)/L7</f>
        <v>1.0103412352531411</v>
      </c>
      <c r="AC8" s="31">
        <f>AC7*(M8+U8)/M7</f>
        <v>1.0020487024998137</v>
      </c>
      <c r="AD8" s="31">
        <f>AD7*(N8+V8)/N7</f>
        <v>1.0021004508801812</v>
      </c>
      <c r="AE8" s="31">
        <f>AE7*(O8+W8)/O7</f>
        <v>0.9997736399830726</v>
      </c>
      <c r="AF8" s="31">
        <f>AF7*(P8+X8)/P7</f>
        <v>0.9974637792080896</v>
      </c>
      <c r="AG8" s="31">
        <f>AG7*(Q8+Y8)/Q7</f>
        <v>0.9977553510299326</v>
      </c>
      <c r="AH8" s="31">
        <f>AH7*(R8+Z8)/R7</f>
        <v>0.9975308077997839</v>
      </c>
      <c r="AI8" s="31">
        <f>AI7*(S8+AA8)/S7</f>
        <v>1.001759670612676</v>
      </c>
      <c r="AJ8" s="12">
        <f>Holdings!$G$5*AB8+Holdings!$G$6*AC8+Holdings!$G$7*AD8+Holdings!$G$8*AE8+Holdings!$G$9*AF8+Holdings!$G$10*AG8+Holdings!$G$11*AH8-1</f>
        <v>0.0018459473911547342</v>
      </c>
      <c r="AK8" s="12">
        <f>AI8-1</f>
        <v>0.001759670612675901</v>
      </c>
      <c r="AL8" s="12">
        <f>AJ8-AK8</f>
        <v>8.62767784788332e-05</v>
      </c>
    </row>
    <row r="9" spans="1:38">
      <c r="A9" s="10" t="s">
        <v>91</v>
      </c>
      <c r="B9" s="30">
        <f>P5</f>
        <v>27.600000381469727</v>
      </c>
      <c r="C9" s="30">
        <f>P26</f>
        <v>27.170000076293945</v>
      </c>
      <c r="D9" s="30">
        <f>SUM(X5:X26)</f>
        <v>0.081</v>
      </c>
      <c r="E9" s="12">
        <f>C9/B9-1</f>
        <v>-0.015579720986688028</v>
      </c>
      <c r="F9" s="12">
        <f>AF26/AF5-1</f>
        <v>-0.01264925258231453</v>
      </c>
      <c r="K9" s="14">
        <v>46269</v>
      </c>
      <c r="L9" s="11">
        <v>58.41999816894531</v>
      </c>
      <c r="M9" s="11">
        <v>78.25</v>
      </c>
      <c r="N9" s="11">
        <v>52.65000152587891</v>
      </c>
      <c r="O9" s="11">
        <v>45</v>
      </c>
      <c r="P9" s="11">
        <v>27.54000091552734</v>
      </c>
      <c r="Q9" s="11">
        <v>26.68000030517578</v>
      </c>
      <c r="R9" s="11">
        <v>16.13999938964844</v>
      </c>
      <c r="S9" s="11">
        <v>39.88999938964844</v>
      </c>
      <c r="T9" s="11">
        <v>0</v>
      </c>
      <c r="U9" s="11">
        <v>0</v>
      </c>
      <c r="V9" s="11">
        <v>0</v>
      </c>
      <c r="W9" s="11">
        <v>0</v>
      </c>
      <c r="X9" s="11">
        <v>0</v>
      </c>
      <c r="Y9" s="11">
        <v>0</v>
      </c>
      <c r="Z9" s="11">
        <v>0</v>
      </c>
      <c r="AA9" s="11">
        <v>0</v>
      </c>
      <c r="AB9" s="31">
        <f>AB8*(L9+T9)/L8</f>
        <v>1.0068941349194374</v>
      </c>
      <c r="AC9" s="31">
        <f>AC8*(M9+U9)/M8</f>
        <v>1.0019206341716973</v>
      </c>
      <c r="AD9" s="31">
        <f>AD8*(N9+V9)/N8</f>
        <v>1.0053466221062621</v>
      </c>
      <c r="AE9" s="31">
        <f>AE8*(O9+W9)/O8</f>
        <v>1.0187910768725872</v>
      </c>
      <c r="AF9" s="31">
        <f>AF8*(P9+X9)/P8</f>
        <v>0.9978261063364815</v>
      </c>
      <c r="AG9" s="31">
        <f>AG8*(Q9+Y9)/Q8</f>
        <v>0.9981294710842945</v>
      </c>
      <c r="AH9" s="31">
        <f>AH8*(R9+Z9)/R8</f>
        <v>0.9962962116996759</v>
      </c>
      <c r="AI9" s="31">
        <f>AI8*(S9+AA9)/S8</f>
        <v>1.0027652240755927</v>
      </c>
      <c r="AJ9" s="12">
        <f>Holdings!$G$5*AB9+Holdings!$G$6*AC9+Holdings!$G$7*AD9+Holdings!$G$8*AE9+Holdings!$G$9*AF9+Holdings!$G$10*AG9+Holdings!$G$11*AH9-1</f>
        <v>0.0024792538531206443</v>
      </c>
      <c r="AK9" s="12">
        <f>AI9-1</f>
        <v>0.002765224075592654</v>
      </c>
      <c r="AL9" s="12">
        <f>AJ9-AK9</f>
        <v>-0.00028597022247200954</v>
      </c>
    </row>
    <row r="10" spans="1:38">
      <c r="A10" s="10" t="s">
        <v>92</v>
      </c>
      <c r="B10" s="30">
        <f>Q5</f>
        <v>26.729999542236328</v>
      </c>
      <c r="C10" s="30">
        <f>Q26</f>
        <v>26.459999084472656</v>
      </c>
      <c r="D10" s="30">
        <f>SUM(Y5:Y26)</f>
        <v>0.068</v>
      </c>
      <c r="E10" s="12">
        <f>C10/B10-1</f>
        <v>-0.010101027399459617</v>
      </c>
      <c r="F10" s="12">
        <f>AG26/AG5-1</f>
        <v>-0.007557069256379445</v>
      </c>
      <c r="K10" s="14">
        <v>46273</v>
      </c>
      <c r="L10" s="11">
        <v>57.81000137329102</v>
      </c>
      <c r="M10" s="11">
        <v>77.59999847412109</v>
      </c>
      <c r="N10" s="11">
        <v>52.18000030517578</v>
      </c>
      <c r="O10" s="11">
        <v>44.90000152587891</v>
      </c>
      <c r="P10" s="11">
        <v>27.52000045776367</v>
      </c>
      <c r="Q10" s="11">
        <v>26.65999984741211</v>
      </c>
      <c r="R10" s="11">
        <v>16.1299991607666</v>
      </c>
      <c r="S10" s="11">
        <v>39.65999984741211</v>
      </c>
      <c r="T10" s="11">
        <v>0</v>
      </c>
      <c r="U10" s="11">
        <v>0</v>
      </c>
      <c r="V10" s="11">
        <v>0</v>
      </c>
      <c r="W10" s="11">
        <v>0</v>
      </c>
      <c r="X10" s="11">
        <v>0</v>
      </c>
      <c r="Y10" s="11">
        <v>0</v>
      </c>
      <c r="Z10" s="11">
        <v>0</v>
      </c>
      <c r="AA10" s="11">
        <v>0</v>
      </c>
      <c r="AB10" s="31">
        <f>AB9*(L10+T10)/L9</f>
        <v>0.9963805742361976</v>
      </c>
      <c r="AC10" s="31">
        <f>AC9*(M10+U10)/M9</f>
        <v>0.9935979512193501</v>
      </c>
      <c r="AD10" s="31">
        <f>AD9*(N10+V10)/N9</f>
        <v>0.9963719948332229</v>
      </c>
      <c r="AE10" s="31">
        <f>AE9*(O10+W10)/O9</f>
        <v>1.0165271312473552</v>
      </c>
      <c r="AF10" s="31">
        <f>AF9*(P10+X10)/P9</f>
        <v>0.9971014520796975</v>
      </c>
      <c r="AG10" s="31">
        <f>AG9*(Q10+Y10)/Q9</f>
        <v>0.9973812309755706</v>
      </c>
      <c r="AH10" s="31">
        <f>AH9*(R10+Z10)/R9</f>
        <v>0.9956789136496219</v>
      </c>
      <c r="AI10" s="31">
        <f>AI9*(S10+AA10)/S9</f>
        <v>0.9969834355061061</v>
      </c>
      <c r="AJ10" s="12">
        <f>Holdings!$G$5*AB10+Holdings!$G$6*AC10+Holdings!$G$7*AD10+Holdings!$G$8*AE10+Holdings!$G$9*AF10+Holdings!$G$10*AG10+Holdings!$G$11*AH10-1</f>
        <v>-0.0030395051792933003</v>
      </c>
      <c r="AK10" s="12">
        <f>AI10-1</f>
        <v>-0.0030165644938938696</v>
      </c>
      <c r="AL10" s="12">
        <f>AJ10-AK10</f>
        <v>-2.2940685399430727e-05</v>
      </c>
    </row>
    <row r="11" spans="1:38">
      <c r="A11" s="10" t="s">
        <v>93</v>
      </c>
      <c r="B11" s="30">
        <f>R5</f>
        <v>16.200000762939453</v>
      </c>
      <c r="C11" s="30">
        <f>R26</f>
        <v>15.619999885559082</v>
      </c>
      <c r="D11" s="30">
        <f>SUM(Z5:Z26)</f>
        <v>0.084</v>
      </c>
      <c r="E11" s="12">
        <f>C11/B11-1</f>
        <v>-0.03580252160896391</v>
      </c>
      <c r="F11" s="12">
        <f>AH26/AH5-1</f>
        <v>-0.030673161990185327</v>
      </c>
      <c r="K11" s="14">
        <v>46274</v>
      </c>
      <c r="L11" s="11">
        <v>57.47000122070312</v>
      </c>
      <c r="M11" s="11">
        <v>77.26000213623047</v>
      </c>
      <c r="N11" s="11">
        <v>51.77000045776367</v>
      </c>
      <c r="O11" s="11">
        <v>44.81999969482422</v>
      </c>
      <c r="P11" s="11">
        <v>27.44000053405762</v>
      </c>
      <c r="Q11" s="11">
        <v>26.6299991607666</v>
      </c>
      <c r="R11" s="11">
        <v>16.11000061035156</v>
      </c>
      <c r="S11" s="11">
        <v>39.49499893188477</v>
      </c>
      <c r="T11" s="11">
        <v>0</v>
      </c>
      <c r="U11" s="11">
        <v>0</v>
      </c>
      <c r="V11" s="11">
        <v>0</v>
      </c>
      <c r="W11" s="11">
        <v>0</v>
      </c>
      <c r="X11" s="11">
        <v>0</v>
      </c>
      <c r="Y11" s="11">
        <v>0</v>
      </c>
      <c r="Z11" s="11">
        <v>0</v>
      </c>
      <c r="AA11" s="11">
        <v>0</v>
      </c>
      <c r="AB11" s="31">
        <f>AB10*(L11+T11)/L10</f>
        <v>0.9905205233932922</v>
      </c>
      <c r="AC11" s="31">
        <f>AC10*(M11+U11)/M10</f>
        <v>0.989244604938514</v>
      </c>
      <c r="AD11" s="31">
        <f>AD10*(N11+V11)/N10</f>
        <v>0.9885430879060836</v>
      </c>
      <c r="AE11" s="31">
        <f>AE10*(O11+W11)/O10</f>
        <v>1.0147159056559778</v>
      </c>
      <c r="AF11" s="31">
        <f>AF10*(P11+X11)/P10</f>
        <v>0.994202904159395</v>
      </c>
      <c r="AG11" s="31">
        <f>AG10*(Q11+Y11)/Q10</f>
        <v>0.9962588708124849</v>
      </c>
      <c r="AH11" s="31">
        <f>AH10*(R11+Z11)/R10</f>
        <v>0.9944444352870783</v>
      </c>
      <c r="AI11" s="31">
        <f>AI10*(S11+AA11)/S10</f>
        <v>0.992835599392717</v>
      </c>
      <c r="AJ11" s="12">
        <f>Holdings!$G$5*AB11+Holdings!$G$6*AC11+Holdings!$G$7*AD11+Holdings!$G$8*AE11+Holdings!$G$9*AF11+Holdings!$G$10*AG11+Holdings!$G$11*AH11-1</f>
        <v>-0.007082319719341035</v>
      </c>
      <c r="AK11" s="12">
        <f>AI11-1</f>
        <v>-0.007164400607282961</v>
      </c>
      <c r="AL11" s="12">
        <f>AJ11-AK11</f>
        <v>8.208088794192658e-05</v>
      </c>
    </row>
    <row r="12" spans="1:38">
      <c r="A12" s="10" t="s">
        <v>94</v>
      </c>
      <c r="B12" s="30">
        <f>S5</f>
        <v>39.779998779296875</v>
      </c>
      <c r="C12" s="30">
        <f>S26</f>
        <v>39.58000183105469</v>
      </c>
      <c r="D12" s="30">
        <f>SUM(AA5:AA26)</f>
        <v>0.0</v>
      </c>
      <c r="E12" s="12">
        <f>C12/B12-1</f>
        <v>-0.005027575524870875</v>
      </c>
      <c r="F12" s="12">
        <f>AI26/AI5-1</f>
        <v>-0.005027575524870653</v>
      </c>
      <c r="K12" s="14">
        <v>46275</v>
      </c>
      <c r="L12" s="11">
        <v>56.83000183105469</v>
      </c>
      <c r="M12" s="11">
        <v>76.91999816894531</v>
      </c>
      <c r="N12" s="11">
        <v>51.34000015258789</v>
      </c>
      <c r="O12" s="11">
        <v>43.9900016784668</v>
      </c>
      <c r="P12" s="11">
        <v>27.28000068664551</v>
      </c>
      <c r="Q12" s="11">
        <v>26.53000068664551</v>
      </c>
      <c r="R12" s="11">
        <v>16.04000091552734</v>
      </c>
      <c r="S12" s="11">
        <v>39.20000076293945</v>
      </c>
      <c r="T12" s="11">
        <v>0</v>
      </c>
      <c r="U12" s="11">
        <v>0</v>
      </c>
      <c r="V12" s="11">
        <v>0</v>
      </c>
      <c r="W12" s="11">
        <v>0</v>
      </c>
      <c r="X12" s="11">
        <v>0</v>
      </c>
      <c r="Y12" s="11">
        <v>0</v>
      </c>
      <c r="Z12" s="11">
        <v>0</v>
      </c>
      <c r="AA12" s="11">
        <v>0</v>
      </c>
      <c r="AB12" s="31">
        <f>AB11*(L12+T12)/L11</f>
        <v>0.9794898549238162</v>
      </c>
      <c r="AC12" s="31">
        <f>AC11*(M12+U12)/M11</f>
        <v>0.9848911609701659</v>
      </c>
      <c r="AD12" s="31">
        <f>AD11*(N12+V12)/N11</f>
        <v>0.9803322741969777</v>
      </c>
      <c r="AE12" s="31">
        <f>AE11*(O12+W12)/O11</f>
        <v>0.9959249151473802</v>
      </c>
      <c r="AF12" s="31">
        <f>AF11*(P12+X12)/P11</f>
        <v>0.9884058083187902</v>
      </c>
      <c r="AG12" s="31">
        <f>AG11*(Q12+Y12)/Q11</f>
        <v>0.9925178129810739</v>
      </c>
      <c r="AH12" s="31">
        <f>AH11*(R12+Z12)/R11</f>
        <v>0.9901234666742647</v>
      </c>
      <c r="AI12" s="31">
        <f>AI11*(S12+AA12)/S11</f>
        <v>0.9854198583671331</v>
      </c>
      <c r="AJ12" s="12">
        <f>Holdings!$G$5*AB12+Holdings!$G$6*AC12+Holdings!$G$7*AD12+Holdings!$G$8*AE12+Holdings!$G$9*AF12+Holdings!$G$10*AG12+Holdings!$G$11*AH12-1</f>
        <v>-0.014214897266865534</v>
      </c>
      <c r="AK12" s="12">
        <f>AI12-1</f>
        <v>-0.014580141632866916</v>
      </c>
      <c r="AL12" s="12">
        <f>AJ12-AK12</f>
        <v>0.00036524436600138266</v>
      </c>
    </row>
    <row r="13" spans="1:38">
      <c r="A13" s="23" t="s">
        <v>95</v>
      </c>
      <c r="B13" s="23"/>
      <c r="C13" s="23"/>
      <c r="D13" s="23"/>
      <c r="E13" s="23"/>
      <c r="F13" s="4">
        <f>Contributions!E14/100</f>
        <v>-0.005676684193404774</v>
      </c>
      <c r="K13" s="14">
        <v>46276</v>
      </c>
      <c r="L13" s="11">
        <v>57.18000030517578</v>
      </c>
      <c r="M13" s="11">
        <v>77.70999908447266</v>
      </c>
      <c r="N13" s="11">
        <v>51.97999954223633</v>
      </c>
      <c r="O13" s="11">
        <v>44.54999923706055</v>
      </c>
      <c r="P13" s="11">
        <v>27.28000068664551</v>
      </c>
      <c r="Q13" s="11">
        <v>26.52000045776367</v>
      </c>
      <c r="R13" s="11">
        <v>16.04000091552734</v>
      </c>
      <c r="S13" s="11">
        <v>39.41999816894531</v>
      </c>
      <c r="T13" s="11">
        <v>0</v>
      </c>
      <c r="U13" s="11">
        <v>0</v>
      </c>
      <c r="V13" s="11">
        <v>0</v>
      </c>
      <c r="W13" s="11">
        <v>0</v>
      </c>
      <c r="X13" s="11">
        <v>0</v>
      </c>
      <c r="Y13" s="11">
        <v>0</v>
      </c>
      <c r="Z13" s="11">
        <v>0</v>
      </c>
      <c r="AA13" s="11">
        <v>0</v>
      </c>
      <c r="AB13" s="31">
        <f>AB12*(L13+T13)/L12</f>
        <v>0.9855222311968203</v>
      </c>
      <c r="AC13" s="31">
        <f>AC12*(M13+U13)/M12</f>
        <v>0.9950064097660941</v>
      </c>
      <c r="AD13" s="31">
        <f>AD12*(N13+V13)/N12</f>
        <v>0.9925529998548273</v>
      </c>
      <c r="AE13" s="31">
        <f>AE12*(O13+W13)/O12</f>
        <v>1.0086031488310636</v>
      </c>
      <c r="AF13" s="31">
        <f>AF12*(P13+X13)/P12</f>
        <v>0.9884058083187902</v>
      </c>
      <c r="AG13" s="31">
        <f>AG12*(Q13+Y13)/Q12</f>
        <v>0.992143692926712</v>
      </c>
      <c r="AH13" s="31">
        <f>AH12*(R13+Z13)/R12</f>
        <v>0.9901234666742647</v>
      </c>
      <c r="AI13" s="31">
        <f>AI12*(S13+AA13)/S12</f>
        <v>0.9909502106234623</v>
      </c>
      <c r="AJ13" s="12">
        <f>Holdings!$G$5*AB13+Holdings!$G$6*AC13+Holdings!$G$7*AD13+Holdings!$G$8*AE13+Holdings!$G$9*AF13+Holdings!$G$10*AG13+Holdings!$G$11*AH13-1</f>
        <v>-0.008619563832705457</v>
      </c>
      <c r="AK13" s="12">
        <f>AI13-1</f>
        <v>-0.009049789376537665</v>
      </c>
      <c r="AL13" s="12">
        <f>AJ13-AK13</f>
        <v>0.0004302255438322078</v>
      </c>
    </row>
    <row r="14" spans="1:38">
      <c r="A14" s="23" t="s">
        <v>96</v>
      </c>
      <c r="B14" s="23"/>
      <c r="C14" s="23"/>
      <c r="D14" s="23"/>
      <c r="E14" s="23"/>
      <c r="F14" s="5">
        <f>(F13-F12)*100</f>
        <v>-0.0649108668534121</v>
      </c>
      <c r="K14" s="14">
        <v>46279</v>
      </c>
      <c r="L14" s="11">
        <v>57.16999816894531</v>
      </c>
      <c r="M14" s="11">
        <v>77.56999969482422</v>
      </c>
      <c r="N14" s="11">
        <v>52.2599983215332</v>
      </c>
      <c r="O14" s="11">
        <v>43.59999847412109</v>
      </c>
      <c r="P14" s="11">
        <v>27.25</v>
      </c>
      <c r="Q14" s="11">
        <v>26.52000045776367</v>
      </c>
      <c r="R14" s="11">
        <v>16.04000091552734</v>
      </c>
      <c r="S14" s="11">
        <v>39.34999847412109</v>
      </c>
      <c r="T14" s="11">
        <v>0</v>
      </c>
      <c r="U14" s="11">
        <v>0</v>
      </c>
      <c r="V14" s="11">
        <v>0</v>
      </c>
      <c r="W14" s="11">
        <v>0</v>
      </c>
      <c r="X14" s="11">
        <v>0</v>
      </c>
      <c r="Y14" s="11">
        <v>0</v>
      </c>
      <c r="Z14" s="11">
        <v>0</v>
      </c>
      <c r="AA14" s="11">
        <v>0</v>
      </c>
      <c r="AB14" s="31">
        <f>AB13*(L14+T14)/L13</f>
        <v>0.9853498400187515</v>
      </c>
      <c r="AC14" s="31">
        <f>AC13*(M14+U14)/M13</f>
        <v>0.9932138439225131</v>
      </c>
      <c r="AD14" s="31">
        <f>AD13*(N14+V14)/N13</f>
        <v>0.9978995491198188</v>
      </c>
      <c r="AE14" s="31">
        <f>AE13*(O14+W14)/O13</f>
        <v>0.9870953199353999</v>
      </c>
      <c r="AF14" s="31">
        <f>AF13*(P14+X14)/P13</f>
        <v>0.9873188269336142</v>
      </c>
      <c r="AG14" s="31">
        <f>AG13*(Q14+Y14)/Q13</f>
        <v>0.992143692926712</v>
      </c>
      <c r="AH14" s="31">
        <f>AH13*(R14+Z14)/R13</f>
        <v>0.9901234666742647</v>
      </c>
      <c r="AI14" s="31">
        <f>AI13*(S14+AA14)/S13</f>
        <v>0.9891905400107863</v>
      </c>
      <c r="AJ14" s="12">
        <f>Holdings!$G$5*AB14+Holdings!$G$6*AC14+Holdings!$G$7*AD14+Holdings!$G$8*AE14+Holdings!$G$9*AF14+Holdings!$G$10*AG14+Holdings!$G$11*AH14-1</f>
        <v>-0.009945066408794445</v>
      </c>
      <c r="AK14" s="12">
        <f>AI14-1</f>
        <v>-0.010809459989213677</v>
      </c>
      <c r="AL14" s="12">
        <f>AJ14-AK14</f>
        <v>0.0008643935804192315</v>
      </c>
    </row>
    <row r="15" spans="1:38">
      <c r="K15" s="14">
        <v>46280</v>
      </c>
      <c r="L15" s="11">
        <v>57.02000045776367</v>
      </c>
      <c r="M15" s="11">
        <v>77.33000183105469</v>
      </c>
      <c r="N15" s="11">
        <v>51.61999893188477</v>
      </c>
      <c r="O15" s="11">
        <v>43.43000030517578</v>
      </c>
      <c r="P15" s="11">
        <v>27.28000068664551</v>
      </c>
      <c r="Q15" s="11">
        <v>26.53000068664551</v>
      </c>
      <c r="R15" s="11">
        <v>15.97999954223633</v>
      </c>
      <c r="S15" s="11">
        <v>39.2599983215332</v>
      </c>
      <c r="T15" s="11">
        <v>0</v>
      </c>
      <c r="U15" s="11">
        <v>0</v>
      </c>
      <c r="V15" s="11">
        <v>0</v>
      </c>
      <c r="W15" s="11">
        <v>0</v>
      </c>
      <c r="X15" s="11">
        <v>0</v>
      </c>
      <c r="Y15" s="11">
        <v>0</v>
      </c>
      <c r="Z15" s="11">
        <v>0</v>
      </c>
      <c r="AA15" s="11">
        <v>0</v>
      </c>
      <c r="AB15" s="31">
        <f>AB14*(L15+T15)/L14</f>
        <v>0.9827645640794512</v>
      </c>
      <c r="AC15" s="31">
        <f>AC14*(M15+U15)/M14</f>
        <v>0.9901408878603045</v>
      </c>
      <c r="AD15" s="31">
        <f>AD14*(N15+V15)/N14</f>
        <v>0.9856788234619692</v>
      </c>
      <c r="AE15" s="31">
        <f>AE14*(O15+W15)/O14</f>
        <v>0.9832465950997074</v>
      </c>
      <c r="AF15" s="31">
        <f>AF14*(P15+X15)/P14</f>
        <v>0.9884058083187902</v>
      </c>
      <c r="AG15" s="31">
        <f>AG14*(Q15+Y15)/Q14</f>
        <v>0.9925178129810739</v>
      </c>
      <c r="AH15" s="31">
        <f>AH14*(R15+Z15)/R14</f>
        <v>0.9864196783739406</v>
      </c>
      <c r="AI15" s="31">
        <f>AI14*(S15+AA15)/S14</f>
        <v>0.9869280926666519</v>
      </c>
      <c r="AJ15" s="12">
        <f>Holdings!$G$5*AB15+Holdings!$G$6*AC15+Holdings!$G$7*AD15+Holdings!$G$8*AE15+Holdings!$G$9*AF15+Holdings!$G$10*AG15+Holdings!$G$11*AH15-1</f>
        <v>-0.012536437958456492</v>
      </c>
      <c r="AK15" s="12">
        <f>AI15-1</f>
        <v>-0.013071907333348065</v>
      </c>
      <c r="AL15" s="12">
        <f>AJ15-AK15</f>
        <v>0.0005354693748915729</v>
      </c>
    </row>
    <row r="16" spans="1:38" ht="44" customHeight="1">
      <c r="A16" s="17" t="s">
        <v>97</v>
      </c>
      <c r="B16" s="17"/>
      <c r="C16" s="17"/>
      <c r="D16" s="17"/>
      <c r="E16" s="17"/>
      <c r="F16" s="17"/>
      <c r="K16" s="14">
        <v>46281</v>
      </c>
      <c r="L16" s="11">
        <v>56.86999893188477</v>
      </c>
      <c r="M16" s="11">
        <v>77.33000183105469</v>
      </c>
      <c r="N16" s="11">
        <v>51.65999984741211</v>
      </c>
      <c r="O16" s="11">
        <v>43.61999893188477</v>
      </c>
      <c r="P16" s="11">
        <v>27.29999923706055</v>
      </c>
      <c r="Q16" s="11">
        <v>26.54999923706055</v>
      </c>
      <c r="R16" s="11">
        <v>15.98999977111816</v>
      </c>
      <c r="S16" s="11">
        <v>39.27000045776367</v>
      </c>
      <c r="T16" s="11">
        <v>0</v>
      </c>
      <c r="U16" s="11">
        <v>0</v>
      </c>
      <c r="V16" s="11">
        <v>0</v>
      </c>
      <c r="W16" s="11">
        <v>0</v>
      </c>
      <c r="X16" s="11">
        <v>0</v>
      </c>
      <c r="Y16" s="11">
        <v>0</v>
      </c>
      <c r="Z16" s="11">
        <v>0</v>
      </c>
      <c r="AA16" s="11">
        <v>0</v>
      </c>
      <c r="AB16" s="31">
        <f>AB15*(L16+T16)/L15</f>
        <v>0.9801792223921808</v>
      </c>
      <c r="AC16" s="31">
        <f>AC15*(M16+U16)/M15</f>
        <v>0.9901408878603045</v>
      </c>
      <c r="AD16" s="31">
        <f>AD15*(N16+V16)/N15</f>
        <v>0.9864426370259024</v>
      </c>
      <c r="AE16" s="31">
        <f>AE15*(O16+W16)/O15</f>
        <v>0.9875481263332442</v>
      </c>
      <c r="AF16" s="31">
        <f>AF15*(P16+X16)/P15</f>
        <v>0.9891303934687408</v>
      </c>
      <c r="AG16" s="31">
        <f>AG15*(Q16+Y16)/Q15</f>
        <v>0.9932659817336935</v>
      </c>
      <c r="AH16" s="31">
        <f>AH15*(R16+Z16)/R15</f>
        <v>0.9870369764239946</v>
      </c>
      <c r="AI16" s="31">
        <f>AI15*(S16+AA16)/S15</f>
        <v>0.9871795289798092</v>
      </c>
      <c r="AJ16" s="12">
        <f>Holdings!$G$5*AB16+Holdings!$G$6*AC16+Holdings!$G$7*AD16+Holdings!$G$8*AE16+Holdings!$G$9*AF16+Holdings!$G$10*AG16+Holdings!$G$11*AH16-1</f>
        <v>-0.012481959104332252</v>
      </c>
      <c r="AK16" s="12">
        <f>AI16-1</f>
        <v>-0.012820471020190793</v>
      </c>
      <c r="AL16" s="12">
        <f>AJ16-AK16</f>
        <v>0.00033851191585854146</v>
      </c>
    </row>
    <row r="17" spans="11:38">
      <c r="K17" s="14">
        <v>46282</v>
      </c>
      <c r="L17" s="11">
        <v>57.45999908447266</v>
      </c>
      <c r="M17" s="11">
        <v>78.20999908447266</v>
      </c>
      <c r="N17" s="11">
        <v>52.09999847412109</v>
      </c>
      <c r="O17" s="11">
        <v>44.43999862670898</v>
      </c>
      <c r="P17" s="11">
        <v>27.47999954223633</v>
      </c>
      <c r="Q17" s="11">
        <v>26.6200008392334</v>
      </c>
      <c r="R17" s="11">
        <v>16.05999946594238</v>
      </c>
      <c r="S17" s="11">
        <v>39.6150016784668</v>
      </c>
      <c r="T17" s="11">
        <v>0</v>
      </c>
      <c r="U17" s="11">
        <v>0</v>
      </c>
      <c r="V17" s="11">
        <v>0</v>
      </c>
      <c r="W17" s="11">
        <v>0</v>
      </c>
      <c r="X17" s="11">
        <v>0</v>
      </c>
      <c r="Y17" s="11">
        <v>0</v>
      </c>
      <c r="Z17" s="11">
        <v>0</v>
      </c>
      <c r="AA17" s="11">
        <v>0</v>
      </c>
      <c r="AB17" s="31">
        <f>AB16*(L17+T17)/L16</f>
        <v>0.9903481322152236</v>
      </c>
      <c r="AC17" s="31">
        <f>AC16*(M17+U17)/M16</f>
        <v>1.0014084585467438</v>
      </c>
      <c r="AD17" s="31">
        <f>AD16*(N17+V17)/N16</f>
        <v>0.9948443677053563</v>
      </c>
      <c r="AE17" s="31">
        <f>AE16*(O17+W17)/O16</f>
        <v>1.0061127568249144</v>
      </c>
      <c r="AF17" s="31">
        <f>AF16*(P17+X17)/P16</f>
        <v>0.9956521435661296</v>
      </c>
      <c r="AG17" s="31">
        <f>AG16*(Q17+Y17)/Q16</f>
        <v>0.9958848221142271</v>
      </c>
      <c r="AH17" s="31">
        <f>AH16*(R17+Z17)/R16</f>
        <v>0.9913579450368083</v>
      </c>
      <c r="AI17" s="31">
        <f>AI16*(S17+AA17)/S16</f>
        <v>0.9958522597814672</v>
      </c>
      <c r="AJ17" s="12">
        <f>Holdings!$G$5*AB17+Holdings!$G$6*AC17+Holdings!$G$7*AD17+Holdings!$G$8*AE17+Holdings!$G$9*AF17+Holdings!$G$10*AG17+Holdings!$G$11*AH17-1</f>
        <v>-0.0037173120956059957</v>
      </c>
      <c r="AK17" s="12">
        <f>AI17-1</f>
        <v>-0.004147740218532814</v>
      </c>
      <c r="AL17" s="12">
        <f>AJ17-AK17</f>
        <v>0.0004304281229268181</v>
      </c>
    </row>
    <row r="18" spans="11:38">
      <c r="K18" s="14">
        <v>46283</v>
      </c>
      <c r="L18" s="11">
        <v>57.33000183105469</v>
      </c>
      <c r="M18" s="11">
        <v>78.23000335693359</v>
      </c>
      <c r="N18" s="11">
        <v>51.66999816894531</v>
      </c>
      <c r="O18" s="11">
        <v>44.52999877929688</v>
      </c>
      <c r="P18" s="11">
        <v>27.43000030517578</v>
      </c>
      <c r="Q18" s="11">
        <v>26.57999992370605</v>
      </c>
      <c r="R18" s="11">
        <v>16.03000068664551</v>
      </c>
      <c r="S18" s="11">
        <v>39.54999923706055</v>
      </c>
      <c r="T18" s="11">
        <v>0</v>
      </c>
      <c r="U18" s="11">
        <v>0</v>
      </c>
      <c r="V18" s="11">
        <v>0</v>
      </c>
      <c r="W18" s="11">
        <v>0</v>
      </c>
      <c r="X18" s="11">
        <v>0</v>
      </c>
      <c r="Y18" s="11">
        <v>0</v>
      </c>
      <c r="Z18" s="11">
        <v>0</v>
      </c>
      <c r="AA18" s="11">
        <v>0</v>
      </c>
      <c r="AB18" s="31">
        <f>AB17*(L18+T18)/L17</f>
        <v>0.9881075728840908</v>
      </c>
      <c r="AC18" s="31">
        <f>AC17*(M18+U18)/M17</f>
        <v>1.0016645952029763</v>
      </c>
      <c r="AD18" s="31">
        <f>AD17*(N18+V18)/N17</f>
        <v>0.9866335539962504</v>
      </c>
      <c r="AE18" s="31">
        <f>AE17*(O18+W18)/O17</f>
        <v>1.0081503424332192</v>
      </c>
      <c r="AF18" s="31">
        <f>AF17*(P18+X18)/P17</f>
        <v>0.9938405770310033</v>
      </c>
      <c r="AG18" s="31">
        <f>AG17*(Q18+Y18)/Q17</f>
        <v>0.9943883418967794</v>
      </c>
      <c r="AH18" s="31">
        <f>AH17*(R18+Z18)/R17</f>
        <v>0.9895061686242107</v>
      </c>
      <c r="AI18" s="31">
        <f>AI17*(S18+AA18)/S17</f>
        <v>0.9942182114305135</v>
      </c>
      <c r="AJ18" s="12">
        <f>Holdings!$G$5*AB18+Holdings!$G$6*AC18+Holdings!$G$7*AD18+Holdings!$G$8*AE18+Holdings!$G$9*AF18+Holdings!$G$10*AG18+Holdings!$G$11*AH18-1</f>
        <v>-0.005508670264078419</v>
      </c>
      <c r="AK18" s="12">
        <f>AI18-1</f>
        <v>-0.005781788569486523</v>
      </c>
      <c r="AL18" s="12">
        <f>AJ18-AK18</f>
        <v>0.00027311830540810433</v>
      </c>
    </row>
    <row r="19" spans="11:38">
      <c r="K19" s="14">
        <v>46286</v>
      </c>
      <c r="L19" s="11">
        <v>57.68999862670898</v>
      </c>
      <c r="M19" s="11">
        <v>79.68000030517578</v>
      </c>
      <c r="N19" s="11">
        <v>52.36999893188477</v>
      </c>
      <c r="O19" s="11">
        <v>45.7400016784668</v>
      </c>
      <c r="P19" s="11">
        <v>27.48999977111816</v>
      </c>
      <c r="Q19" s="11">
        <v>26.6200008392334</v>
      </c>
      <c r="R19" s="11">
        <v>16.04999923706055</v>
      </c>
      <c r="S19" s="11">
        <v>39.95000076293945</v>
      </c>
      <c r="T19" s="11">
        <v>0</v>
      </c>
      <c r="U19" s="11">
        <v>0</v>
      </c>
      <c r="V19" s="11">
        <v>0</v>
      </c>
      <c r="W19" s="11">
        <v>0</v>
      </c>
      <c r="X19" s="11">
        <v>0</v>
      </c>
      <c r="Y19" s="11">
        <v>0</v>
      </c>
      <c r="Z19" s="11">
        <v>0</v>
      </c>
      <c r="AA19" s="11">
        <v>0</v>
      </c>
      <c r="AB19" s="31">
        <f>AB18*(L19+T19)/L18</f>
        <v>0.9943122745871933</v>
      </c>
      <c r="AC19" s="31">
        <f>AC18*(M19+U19)/M18</f>
        <v>1.020230497591856</v>
      </c>
      <c r="AD19" s="31">
        <f>AD18*(N19+V19)/N18</f>
        <v>0.9999999999999999</v>
      </c>
      <c r="AE19" s="31">
        <f>AE18*(O19+W19)/O18</f>
        <v>1.0355445681368698</v>
      </c>
      <c r="AF19" s="31">
        <f>AF18*(P19+X19)/P18</f>
        <v>0.9960144706945216</v>
      </c>
      <c r="AG19" s="31">
        <f>AG18*(Q19+Y19)/Q18</f>
        <v>0.995884822114227</v>
      </c>
      <c r="AH19" s="31">
        <f>AH18*(R19+Z19)/R18</f>
        <v>0.9907406469867543</v>
      </c>
      <c r="AI19" s="31">
        <f>AI18*(S19+AA19)/S18</f>
        <v>1.0042735542699677</v>
      </c>
      <c r="AJ19" s="12">
        <f>Holdings!$G$5*AB19+Holdings!$G$6*AC19+Holdings!$G$7*AD19+Holdings!$G$8*AE19+Holdings!$G$9*AF19+Holdings!$G$10*AG19+Holdings!$G$11*AH19-1</f>
        <v>0.00389221335984713</v>
      </c>
      <c r="AK19" s="12">
        <f>AI19-1</f>
        <v>0.004273554269967672</v>
      </c>
      <c r="AL19" s="12">
        <f>AJ19-AK19</f>
        <v>-0.0003813409101205423</v>
      </c>
    </row>
    <row r="20" spans="11:38">
      <c r="K20" s="14">
        <v>46287</v>
      </c>
      <c r="L20" s="11">
        <v>58.20000076293945</v>
      </c>
      <c r="M20" s="11">
        <v>79.87999725341797</v>
      </c>
      <c r="N20" s="11">
        <v>52.63999938964844</v>
      </c>
      <c r="O20" s="11">
        <v>46.09999847412109</v>
      </c>
      <c r="P20" s="11">
        <v>27.54999923706055</v>
      </c>
      <c r="Q20" s="11">
        <v>26.63999938964844</v>
      </c>
      <c r="R20" s="11">
        <v>16.06999969482422</v>
      </c>
      <c r="S20" s="11">
        <v>40.09000015258789</v>
      </c>
      <c r="T20" s="11">
        <v>0</v>
      </c>
      <c r="U20" s="11">
        <v>0</v>
      </c>
      <c r="V20" s="11">
        <v>0</v>
      </c>
      <c r="W20" s="11">
        <v>0</v>
      </c>
      <c r="X20" s="11">
        <v>0</v>
      </c>
      <c r="Y20" s="11">
        <v>0</v>
      </c>
      <c r="Z20" s="11">
        <v>0</v>
      </c>
      <c r="AA20" s="11">
        <v>0</v>
      </c>
      <c r="AB20" s="31">
        <f>AB19*(L20+T20)/L19</f>
        <v>1.0031023837255366</v>
      </c>
      <c r="AC20" s="31">
        <f>AC19*(M20+U20)/M19</f>
        <v>1.022791278029111</v>
      </c>
      <c r="AD20" s="31">
        <f>AD19*(N20+V20)/N19</f>
        <v>1.0051556322946433</v>
      </c>
      <c r="AE20" s="31">
        <f>AE19*(O20+W20)/O19</f>
        <v>1.043694824206099</v>
      </c>
      <c r="AF20" s="31">
        <f>AF19*(P20+X20)/P19</f>
        <v>0.99818836435804</v>
      </c>
      <c r="AG20" s="31">
        <f>AG19*(Q20+Y20)/Q19</f>
        <v>0.9966329908668468</v>
      </c>
      <c r="AH20" s="31">
        <f>AH19*(R20+Z20)/R19</f>
        <v>0.9919752430868622</v>
      </c>
      <c r="AI20" s="31">
        <f>AI19*(S20+AA20)/S19</f>
        <v>1.00779289549532</v>
      </c>
      <c r="AJ20" s="12">
        <f>Holdings!$G$5*AB20+Holdings!$G$6*AC20+Holdings!$G$7*AD20+Holdings!$G$8*AE20+Holdings!$G$9*AF20+Holdings!$G$10*AG20+Holdings!$G$11*AH20-1</f>
        <v>0.007926218026409027</v>
      </c>
      <c r="AK20" s="12">
        <f>AI20-1</f>
        <v>0.007792895495319918</v>
      </c>
      <c r="AL20" s="12">
        <f>AJ20-AK20</f>
        <v>0.0001333225310891084</v>
      </c>
    </row>
    <row r="21" spans="11:38">
      <c r="K21" s="14">
        <v>46288</v>
      </c>
      <c r="L21" s="11">
        <v>57.29000091552734</v>
      </c>
      <c r="M21" s="11">
        <v>79.43000030517578</v>
      </c>
      <c r="N21" s="11">
        <v>51.93999862670898</v>
      </c>
      <c r="O21" s="11">
        <v>45.25</v>
      </c>
      <c r="P21" s="11">
        <v>27.35000038146973</v>
      </c>
      <c r="Q21" s="11">
        <v>26.52000045776367</v>
      </c>
      <c r="R21" s="11">
        <v>15.94999980926514</v>
      </c>
      <c r="S21" s="11">
        <v>39.72000122070312</v>
      </c>
      <c r="T21" s="11">
        <v>0</v>
      </c>
      <c r="U21" s="11">
        <v>0</v>
      </c>
      <c r="V21" s="11">
        <v>0</v>
      </c>
      <c r="W21" s="11">
        <v>0</v>
      </c>
      <c r="X21" s="11">
        <v>0</v>
      </c>
      <c r="Y21" s="11">
        <v>0</v>
      </c>
      <c r="Z21" s="11">
        <v>0</v>
      </c>
      <c r="AA21" s="11">
        <v>0</v>
      </c>
      <c r="AB21" s="31">
        <f>AB20*(L21+T21)/L20</f>
        <v>0.987418139667756</v>
      </c>
      <c r="AC21" s="31">
        <f>AC20*(M21+U21)/M20</f>
        <v>1.017029473201531</v>
      </c>
      <c r="AD21" s="31">
        <f>AD20*(N21+V21)/N20</f>
        <v>0.991789186290894</v>
      </c>
      <c r="AE21" s="31">
        <f>AE20*(O21+W21)/O20</f>
        <v>1.0244510272996572</v>
      </c>
      <c r="AF21" s="31">
        <f>AF20*(P21+X21)/P20</f>
        <v>0.9909420291107008</v>
      </c>
      <c r="AG21" s="31">
        <f>AG20*(Q21+Y21)/Q20</f>
        <v>0.992143692926712</v>
      </c>
      <c r="AH21" s="31">
        <f>AH20*(R21+Z21)/R20</f>
        <v>0.9845678430925607</v>
      </c>
      <c r="AI21" s="31">
        <f>AI20*(S21+AA21)/S20</f>
        <v>0.9984917657004813</v>
      </c>
      <c r="AJ21" s="12">
        <f>Holdings!$G$5*AB21+Holdings!$G$6*AC21+Holdings!$G$7*AD21+Holdings!$G$8*AE21+Holdings!$G$9*AF21+Holdings!$G$10*AG21+Holdings!$G$11*AH21-1</f>
        <v>-0.001627491903674394</v>
      </c>
      <c r="AK21" s="12">
        <f>AI21-1</f>
        <v>-0.0015082342995187403</v>
      </c>
      <c r="AL21" s="12">
        <f>AJ21-AK21</f>
        <v>-0.00011925760415565367</v>
      </c>
    </row>
    <row r="22" spans="11:38">
      <c r="K22" s="14">
        <v>46289</v>
      </c>
      <c r="L22" s="11">
        <v>56.88999938964844</v>
      </c>
      <c r="M22" s="11">
        <v>79.47000122070312</v>
      </c>
      <c r="N22" s="11">
        <v>51.93000030517578</v>
      </c>
      <c r="O22" s="11">
        <v>45.13000106811523</v>
      </c>
      <c r="P22" s="11">
        <v>27.20999908447266</v>
      </c>
      <c r="Q22" s="11">
        <v>26.45999908447266</v>
      </c>
      <c r="R22" s="11">
        <v>15.78999996185303</v>
      </c>
      <c r="S22" s="11">
        <v>39.68000030517578</v>
      </c>
      <c r="T22" s="11">
        <v>0.285</v>
      </c>
      <c r="U22" s="11">
        <v>0.171</v>
      </c>
      <c r="V22" s="11">
        <v>0</v>
      </c>
      <c r="W22" s="11">
        <v>0</v>
      </c>
      <c r="X22" s="11">
        <v>0.081</v>
      </c>
      <c r="Y22" s="11">
        <v>0.068</v>
      </c>
      <c r="Z22" s="11">
        <v>0.08400000000000001</v>
      </c>
      <c r="AA22" s="11">
        <v>0</v>
      </c>
      <c r="AB22" s="31">
        <f>AB21*(L22+T22)/L21</f>
        <v>0.9854360382377048</v>
      </c>
      <c r="AC22" s="31">
        <f>AC21*(M22+U22)/M21</f>
        <v>1.019731149509467</v>
      </c>
      <c r="AD22" s="31">
        <f>AD21*(N22+V22)/N21</f>
        <v>0.991598269320546</v>
      </c>
      <c r="AE22" s="31">
        <f>AE21*(O22+W22)/O21</f>
        <v>1.0217342752765808</v>
      </c>
      <c r="AF22" s="31">
        <f>AF21*(P22+X22)/P21</f>
        <v>0.9888043009881794</v>
      </c>
      <c r="AG22" s="31">
        <f>AG21*(Q22+Y22)/Q21</f>
        <v>0.9924429307436206</v>
      </c>
      <c r="AH22" s="31">
        <f>AH21*(R22+Z22)/R21</f>
        <v>0.9798764947078141</v>
      </c>
      <c r="AI22" s="31">
        <f>AI21*(S22+AA22)/S21</f>
        <v>0.9974862122375645</v>
      </c>
      <c r="AJ22" s="12">
        <f>Holdings!$G$5*AB22+Holdings!$G$6*AC22+Holdings!$G$7*AD22+Holdings!$G$8*AE22+Holdings!$G$9*AF22+Holdings!$G$10*AG22+Holdings!$G$11*AH22-1</f>
        <v>-0.0022424913094886145</v>
      </c>
      <c r="AK22" s="12">
        <f>AI22-1</f>
        <v>-0.002513787762435493</v>
      </c>
      <c r="AL22" s="12">
        <f>AJ22-AK22</f>
        <v>0.00027129645294687865</v>
      </c>
    </row>
    <row r="23" spans="11:38">
      <c r="K23" s="14">
        <v>46290</v>
      </c>
      <c r="L23" s="11">
        <v>57.06999969482422</v>
      </c>
      <c r="M23" s="11">
        <v>79.84500122070312</v>
      </c>
      <c r="N23" s="11">
        <v>52.43999862670898</v>
      </c>
      <c r="O23" s="11">
        <v>45.56000137329102</v>
      </c>
      <c r="P23" s="11">
        <v>27.31999969482422</v>
      </c>
      <c r="Q23" s="11">
        <v>26.53000068664551</v>
      </c>
      <c r="R23" s="11">
        <v>15.80000019073486</v>
      </c>
      <c r="S23" s="11">
        <v>39.88000106811523</v>
      </c>
      <c r="T23" s="11">
        <v>0</v>
      </c>
      <c r="U23" s="11">
        <v>0</v>
      </c>
      <c r="V23" s="11">
        <v>0</v>
      </c>
      <c r="W23" s="11">
        <v>0</v>
      </c>
      <c r="X23" s="11">
        <v>0</v>
      </c>
      <c r="Y23" s="11">
        <v>0</v>
      </c>
      <c r="Z23" s="11">
        <v>0</v>
      </c>
      <c r="AA23" s="11">
        <v>0</v>
      </c>
      <c r="AB23" s="31">
        <f>AB22*(L23+T23)/L22</f>
        <v>0.9885539638751988</v>
      </c>
      <c r="AC23" s="31">
        <f>AC22*(M23+U23)/M22</f>
        <v>1.0245430178269728</v>
      </c>
      <c r="AD23" s="31">
        <f>AD22*(N23+V23)/N22</f>
        <v>1.0013366373162478</v>
      </c>
      <c r="AE23" s="31">
        <f>AE22*(O23+W23)/O22</f>
        <v>1.0314693969202602</v>
      </c>
      <c r="AF23" s="31">
        <f>AF22*(P23+X23)/P22</f>
        <v>0.9928016946040071</v>
      </c>
      <c r="AG23" s="31">
        <f>AG22*(Q23+Y23)/Q22</f>
        <v>0.995068501326423</v>
      </c>
      <c r="AH23" s="31">
        <f>AH22*(R23+Z23)/R22</f>
        <v>0.9804970766740385</v>
      </c>
      <c r="AI23" s="31">
        <f>AI22*(S23+AA23)/S22</f>
        <v>1.0025138836572918</v>
      </c>
      <c r="AJ23" s="12">
        <f>Holdings!$G$5*AB23+Holdings!$G$6*AC23+Holdings!$G$7*AD23+Holdings!$G$8*AE23+Holdings!$G$9*AF23+Holdings!$G$10*AG23+Holdings!$G$11*AH23-1</f>
        <v>0.002344010606756264</v>
      </c>
      <c r="AK23" s="12">
        <f>AI23-1</f>
        <v>0.002513883657291771</v>
      </c>
      <c r="AL23" s="12">
        <f>AJ23-AK23</f>
        <v>-0.00016987305053550728</v>
      </c>
    </row>
    <row r="24" spans="11:38">
      <c r="K24" s="14">
        <v>46293</v>
      </c>
      <c r="L24" s="11">
        <v>56.61000061035156</v>
      </c>
      <c r="M24" s="11">
        <v>79.43000030517578</v>
      </c>
      <c r="N24" s="11">
        <v>52.27000045776367</v>
      </c>
      <c r="O24" s="11">
        <v>45.20000076293945</v>
      </c>
      <c r="P24" s="11">
        <v>27.25</v>
      </c>
      <c r="Q24" s="11">
        <v>26.47999954223633</v>
      </c>
      <c r="R24" s="11">
        <v>15.72000026702881</v>
      </c>
      <c r="S24" s="11">
        <v>39.66999816894531</v>
      </c>
      <c r="T24" s="11">
        <v>0</v>
      </c>
      <c r="U24" s="11">
        <v>0</v>
      </c>
      <c r="V24" s="11">
        <v>0</v>
      </c>
      <c r="W24" s="11">
        <v>0</v>
      </c>
      <c r="X24" s="11">
        <v>0</v>
      </c>
      <c r="Y24" s="11">
        <v>0</v>
      </c>
      <c r="Z24" s="11">
        <v>0</v>
      </c>
      <c r="AA24" s="11">
        <v>0</v>
      </c>
      <c r="AB24" s="31">
        <f>AB23*(L24+T24)/L23</f>
        <v>0.9805859610582013</v>
      </c>
      <c r="AC24" s="31">
        <f>AC23*(M24+U24)/M23</f>
        <v>1.0192178718078742</v>
      </c>
      <c r="AD24" s="31">
        <f>AD23*(N24+V24)/N23</f>
        <v>0.9980905389314374</v>
      </c>
      <c r="AE24" s="31">
        <f>AE23*(O24+W24)/O23</f>
        <v>1.0233190544870412</v>
      </c>
      <c r="AF24" s="31">
        <f>AF23*(P24+X24)/P23</f>
        <v>0.9902579238712274</v>
      </c>
      <c r="AG24" s="31">
        <f>AG23*(Q24+Y24)/Q23</f>
        <v>0.9931930937672784</v>
      </c>
      <c r="AH24" s="31">
        <f>AH23*(R24+Z24)/R23</f>
        <v>0.975532539308151</v>
      </c>
      <c r="AI24" s="31">
        <f>AI23*(S24+AA24)/S23</f>
        <v>0.9972347759244073</v>
      </c>
      <c r="AJ24" s="12">
        <f>Holdings!$G$5*AB24+Holdings!$G$6*AC24+Holdings!$G$7*AD24+Holdings!$G$8*AE24+Holdings!$G$9*AF24+Holdings!$G$10*AG24+Holdings!$G$11*AH24-1</f>
        <v>-0.0024129545657582963</v>
      </c>
      <c r="AK24" s="12">
        <f>AI24-1</f>
        <v>-0.002765224075592654</v>
      </c>
      <c r="AL24" s="12">
        <f>AJ24-AK24</f>
        <v>0.00035226950983435756</v>
      </c>
    </row>
    <row r="25" spans="11:38">
      <c r="K25" s="14">
        <v>46294</v>
      </c>
      <c r="L25" s="11">
        <v>56.56999969482422</v>
      </c>
      <c r="M25" s="11">
        <v>79.30000305175781</v>
      </c>
      <c r="N25" s="11">
        <v>52.04499816894531</v>
      </c>
      <c r="O25" s="11">
        <v>45.34999847412109</v>
      </c>
      <c r="P25" s="11">
        <v>27.19000053405762</v>
      </c>
      <c r="Q25" s="11">
        <v>26.45999908447266</v>
      </c>
      <c r="R25" s="11">
        <v>15.67000007629395</v>
      </c>
      <c r="S25" s="11">
        <v>39.59999847412109</v>
      </c>
      <c r="T25" s="11">
        <v>0</v>
      </c>
      <c r="U25" s="11">
        <v>0</v>
      </c>
      <c r="V25" s="11">
        <v>0</v>
      </c>
      <c r="W25" s="11">
        <v>0</v>
      </c>
      <c r="X25" s="11">
        <v>0</v>
      </c>
      <c r="Y25" s="11">
        <v>0</v>
      </c>
      <c r="Z25" s="11">
        <v>0</v>
      </c>
      <c r="AA25" s="11">
        <v>0</v>
      </c>
      <c r="AB25" s="31">
        <f>AB24*(L25+T25)/L24</f>
        <v>0.9798930740104591</v>
      </c>
      <c r="AC25" s="31">
        <f>AC24*(M25+U25)/M24</f>
        <v>1.0175497927009816</v>
      </c>
      <c r="AD25" s="31">
        <f>AD24*(N25+V25)/N24</f>
        <v>0.9937941422652657</v>
      </c>
      <c r="AE25" s="31">
        <f>AE24*(O25+W25)/O24</f>
        <v>1.0267149729248892</v>
      </c>
      <c r="AF25" s="31">
        <f>AF24*(P25+X25)/P24</f>
        <v>0.9880775588592094</v>
      </c>
      <c r="AG25" s="31">
        <f>AG24*(Q25+Y25)/Q24</f>
        <v>0.9924429307436206</v>
      </c>
      <c r="AH25" s="31">
        <f>AH24*(R25+Z25)/R24</f>
        <v>0.9724296886589828</v>
      </c>
      <c r="AI25" s="31">
        <f>AI24*(S25+AA25)/S24</f>
        <v>0.9954751053117313</v>
      </c>
      <c r="AJ25" s="12">
        <f>Holdings!$G$5*AB25+Holdings!$G$6*AC25+Holdings!$G$7*AD25+Holdings!$G$8*AE25+Holdings!$G$9*AF25+Holdings!$G$10*AG25+Holdings!$G$11*AH25-1</f>
        <v>-0.0039907212511895995</v>
      </c>
      <c r="AK25" s="12">
        <f>AI25-1</f>
        <v>-0.004524894688268666</v>
      </c>
      <c r="AL25" s="12">
        <f>AJ25-AK25</f>
        <v>0.0005341734370790663</v>
      </c>
    </row>
    <row r="26" spans="11:38">
      <c r="K26" s="14">
        <v>46295</v>
      </c>
      <c r="L26" s="11">
        <v>56.20000076293945</v>
      </c>
      <c r="M26" s="11">
        <v>79.44000244140625</v>
      </c>
      <c r="N26" s="11">
        <v>51.94499969482422</v>
      </c>
      <c r="O26" s="11">
        <v>45.08499908447266</v>
      </c>
      <c r="P26" s="11">
        <v>27.17000007629395</v>
      </c>
      <c r="Q26" s="11">
        <v>26.45999908447266</v>
      </c>
      <c r="R26" s="11">
        <v>15.61999988555908</v>
      </c>
      <c r="S26" s="11">
        <v>39.58000183105469</v>
      </c>
      <c r="T26" s="11">
        <v>0</v>
      </c>
      <c r="U26" s="11">
        <v>0</v>
      </c>
      <c r="V26" s="11">
        <v>0</v>
      </c>
      <c r="W26" s="11">
        <v>0</v>
      </c>
      <c r="X26" s="11">
        <v>0</v>
      </c>
      <c r="Y26" s="11">
        <v>0</v>
      </c>
      <c r="Z26" s="11">
        <v>0</v>
      </c>
      <c r="AA26" s="11">
        <v>0</v>
      </c>
      <c r="AB26" s="31">
        <f>AB25*(L26+T26)/L25</f>
        <v>0.9734840340122086</v>
      </c>
      <c r="AC26" s="31">
        <f>AC25*(M26+U26)/M25</f>
        <v>1.0193462157077002</v>
      </c>
      <c r="AD26" s="31">
        <f>AD25*(N26+V26)/N25</f>
        <v>0.9918846811967033</v>
      </c>
      <c r="AE26" s="31">
        <f>AE25*(O26+W26)/O25</f>
        <v>1.0207154392904334</v>
      </c>
      <c r="AF26" s="31">
        <f>AF25*(P26+X26)/P25</f>
        <v>0.9873507474176855</v>
      </c>
      <c r="AG26" s="31">
        <f>AG25*(Q26+Y26)/Q25</f>
        <v>0.9924429307436206</v>
      </c>
      <c r="AH26" s="31">
        <f>AH25*(R26+Z26)/R25</f>
        <v>0.9693268380098147</v>
      </c>
      <c r="AI26" s="31">
        <f>AI25*(S26+AA26)/S25</f>
        <v>0.9949724244751293</v>
      </c>
      <c r="AJ26" s="12">
        <f>Holdings!$G$5*AB26+Holdings!$G$6*AC26+Holdings!$G$7*AD26+Holdings!$G$8*AE26+Holdings!$G$9*AF26+Holdings!$G$10*AG26+Holdings!$G$11*AH26-1</f>
        <v>-0.005676684193404835</v>
      </c>
      <c r="AK26" s="12">
        <f>AI26-1</f>
        <v>-0.005027575524870653</v>
      </c>
      <c r="AL26" s="12">
        <f>AJ26-AK26</f>
        <v>-0.0006491086685341818</v>
      </c>
    </row>
  </sheetData>
  <autoFilter ref="K4:AL26"/>
  <mergeCells count="1">
    <mergeCell ref="A16:F16"/>
  </mergeCells>
  <pageMargins left="0.7" right="0.7" top="0.75" bottom="0.75" header="0.3" footer="0.3"/>
  <pageSetup paperSize="1" orientation="landscape"/>
</worksheet>
</file>

<file path=xl/worksheets/sheet4.xml><?xml version="1.0" encoding="utf-8"?>
<worksheet xmlns="http://schemas.openxmlformats.org/spreadsheetml/2006/main" xmlns:r="http://schemas.openxmlformats.org/officeDocument/2006/relationships">
  <sheetPr>
    <tabColor rgb="FF15324F"/>
    <pageSetUpPr fitToPage="1"/>
  </sheetPr>
  <dimension ref="A1:H38"/>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4.7109375" customWidth="1"/>
    <col min="2" max="2" width="14.7109375" customWidth="1"/>
    <col min="3" max="4" width="13.7109375" customWidth="1"/>
    <col min="5" max="5" width="15.7109375" customWidth="1"/>
    <col min="6" max="6" width="16.7109375" customWidth="1"/>
    <col min="7" max="8" width="13.7109375" customWidth="1"/>
  </cols>
  <sheetData>
    <row r="1" spans="1:8">
      <c r="A1" s="1" t="s">
        <v>158</v>
      </c>
    </row>
    <row r="2" spans="1:8">
      <c r="A2" s="2" t="s">
        <v>159</v>
      </c>
    </row>
    <row r="4" spans="1:8" ht="32" customHeight="1">
      <c r="A4" s="9" t="s">
        <v>100</v>
      </c>
      <c r="B4" s="9" t="s">
        <v>102</v>
      </c>
      <c r="C4" s="3" t="s">
        <v>105</v>
      </c>
      <c r="D4" s="3" t="s">
        <v>86</v>
      </c>
      <c r="E4" s="3" t="s">
        <v>160</v>
      </c>
      <c r="F4" s="3" t="s">
        <v>161</v>
      </c>
      <c r="G4" s="3" t="s">
        <v>108</v>
      </c>
      <c r="H4" s="3" t="s">
        <v>109</v>
      </c>
    </row>
    <row r="5" spans="1:8">
      <c r="A5" s="10" t="s">
        <v>112</v>
      </c>
      <c r="B5" s="10" t="s">
        <v>114</v>
      </c>
      <c r="C5" s="20">
        <f>Holdings!G5</f>
        <v>0.20346771576448913</v>
      </c>
      <c r="D5" s="12">
        <f>Holdings!I5</f>
        <v>-0.02651596598779138</v>
      </c>
      <c r="E5" s="21">
        <f>C5*D5*100</f>
        <v>-0.5395143030824797</v>
      </c>
      <c r="F5" s="20">
        <f>E5/E$14</f>
        <v>0.9504039412819416</v>
      </c>
      <c r="G5" s="20">
        <f>Holdings!K5</f>
        <v>0.19920338745449997</v>
      </c>
      <c r="H5" s="21">
        <f>Holdings!L5</f>
        <v>-0.07966125455000361</v>
      </c>
    </row>
    <row r="6" spans="1:8">
      <c r="A6" s="10" t="s">
        <v>117</v>
      </c>
      <c r="B6" s="10" t="s">
        <v>114</v>
      </c>
      <c r="C6" s="20">
        <f>Holdings!G6</f>
        <v>0.2505808878830916</v>
      </c>
      <c r="D6" s="12">
        <f>Holdings!I6</f>
        <v>0.01934621570770023</v>
      </c>
      <c r="E6" s="21">
        <f>C6*D6*100</f>
        <v>0.4847791909213337</v>
      </c>
      <c r="F6" s="20">
        <f>E6/E$14</f>
        <v>-0.8539830196729189</v>
      </c>
      <c r="G6" s="20">
        <f>Holdings!K6</f>
        <v>0.2568869458573454</v>
      </c>
      <c r="H6" s="21">
        <f>Holdings!L6</f>
        <v>0.6886945857345395</v>
      </c>
    </row>
    <row r="7" spans="1:8">
      <c r="A7" s="10" t="s">
        <v>121</v>
      </c>
      <c r="B7" s="10" t="s">
        <v>114</v>
      </c>
      <c r="C7" s="20">
        <f>Holdings!G7</f>
        <v>0.09966955078851765</v>
      </c>
      <c r="D7" s="12">
        <f>Holdings!I7</f>
        <v>-0.008115318803296745</v>
      </c>
      <c r="E7" s="21">
        <f>C7*D7*100</f>
        <v>-0.08088501796301972</v>
      </c>
      <c r="F7" s="20">
        <f>E7/E$14</f>
        <v>0.14248637973729927</v>
      </c>
      <c r="G7" s="20">
        <f>Holdings!K7</f>
        <v>0.09942510553389934</v>
      </c>
      <c r="H7" s="21">
        <f>Holdings!L7</f>
        <v>-0.05748944661006644</v>
      </c>
    </row>
    <row r="8" spans="1:8">
      <c r="A8" s="10" t="s">
        <v>125</v>
      </c>
      <c r="B8" s="10" t="s">
        <v>114</v>
      </c>
      <c r="C8" s="20">
        <f>Holdings!G8</f>
        <v>0.05144374741074122</v>
      </c>
      <c r="D8" s="12">
        <f>Holdings!I8</f>
        <v>0.0207154392904334</v>
      </c>
      <c r="E8" s="21">
        <f>C8*D8*100</f>
        <v>0.10656798263596003</v>
      </c>
      <c r="F8" s="20">
        <f>E8/E$14</f>
        <v>-0.18772927822860344</v>
      </c>
      <c r="G8" s="20">
        <f>Holdings!K8</f>
        <v>0.05280920843589508</v>
      </c>
      <c r="H8" s="21">
        <f>Holdings!L8</f>
        <v>0.28092084358950775</v>
      </c>
    </row>
    <row r="9" spans="1:8">
      <c r="A9" s="10" t="s">
        <v>129</v>
      </c>
      <c r="B9" s="10" t="s">
        <v>131</v>
      </c>
      <c r="C9" s="20">
        <f>Holdings!G9</f>
        <v>0.24626791801123124</v>
      </c>
      <c r="D9" s="12">
        <f>Holdings!I9</f>
        <v>-0.01264925258231453</v>
      </c>
      <c r="E9" s="21">
        <f>C9*D9*100</f>
        <v>-0.311510509784479</v>
      </c>
      <c r="F9" s="20">
        <f>E9/E$14</f>
        <v>0.5487543417447721</v>
      </c>
      <c r="G9" s="20">
        <f>Holdings!K9</f>
        <v>0.24454099491385342</v>
      </c>
      <c r="H9" s="21">
        <f>Holdings!L9</f>
        <v>-0.5459005086146579</v>
      </c>
    </row>
    <row r="10" spans="1:8">
      <c r="A10" s="10" t="s">
        <v>134</v>
      </c>
      <c r="B10" s="10" t="s">
        <v>131</v>
      </c>
      <c r="C10" s="20">
        <f>Holdings!G10</f>
        <v>0.09889472273933463</v>
      </c>
      <c r="D10" s="12">
        <f>Holdings!I10</f>
        <v>-0.007557069256379445</v>
      </c>
      <c r="E10" s="21">
        <f>C10*D10*100</f>
        <v>-0.07473542688315948</v>
      </c>
      <c r="F10" s="20">
        <f>E10/E$14</f>
        <v>0.13165331087113816</v>
      </c>
      <c r="G10" s="20">
        <f>Holdings!K10</f>
        <v>0.09870770091606056</v>
      </c>
      <c r="H10" s="21">
        <f>Holdings!L10</f>
        <v>-0.12922990839394494</v>
      </c>
    </row>
    <row r="11" spans="1:8">
      <c r="A11" s="10" t="s">
        <v>138</v>
      </c>
      <c r="B11" s="10" t="s">
        <v>131</v>
      </c>
      <c r="C11" s="20">
        <f>Holdings!G11</f>
        <v>0.04967545740259453</v>
      </c>
      <c r="D11" s="12">
        <f>Holdings!I11</f>
        <v>-0.030673161990185327</v>
      </c>
      <c r="E11" s="21">
        <f>C11*D11*100</f>
        <v>-0.1523703351846333</v>
      </c>
      <c r="F11" s="20">
        <f>E11/E$14</f>
        <v>0.26841432426637124</v>
      </c>
      <c r="G11" s="20">
        <f>Holdings!K11</f>
        <v>0.04842665688844629</v>
      </c>
      <c r="H11" s="21">
        <f>Holdings!L11</f>
        <v>-0.15733431115537155</v>
      </c>
    </row>
    <row r="12" spans="1:8">
      <c r="A12" s="23" t="s">
        <v>142</v>
      </c>
      <c r="B12" s="23" t="s">
        <v>114</v>
      </c>
      <c r="C12" s="24">
        <f>SUMIF($B$5:$B$11,$B12,C$5:C$11)</f>
        <v>0.6051619018468396</v>
      </c>
      <c r="D12" s="4">
        <f>E12/100/C12</f>
        <v>-0.0004800723145251551</v>
      </c>
      <c r="E12" s="5">
        <f>SUMIF($B$5:$B$11,$B12,E$5:E$11)</f>
        <v>-0.029052147488205705</v>
      </c>
      <c r="F12" s="24">
        <f>E12/E$14</f>
        <v>0.05117802311771855</v>
      </c>
      <c r="G12" s="24">
        <f>SUMIF($B$5:$B$11,$B12,G$5:G$11)</f>
        <v>0.6083246472816397</v>
      </c>
      <c r="H12" s="5">
        <f>(G12-Eq_Target)*100</f>
        <v>0.832464728163973</v>
      </c>
    </row>
    <row r="13" spans="1:8">
      <c r="A13" s="23" t="s">
        <v>143</v>
      </c>
      <c r="B13" s="23" t="s">
        <v>131</v>
      </c>
      <c r="C13" s="24">
        <f>SUMIF($B$5:$B$11,$B13,C$5:C$11)</f>
        <v>0.3948380981531604</v>
      </c>
      <c r="D13" s="4">
        <f>E13/100/C13</f>
        <v>-0.01364144631360621</v>
      </c>
      <c r="E13" s="5">
        <f>SUMIF($B$5:$B$11,$B13,E$5:E$11)</f>
        <v>-0.5386162718522717</v>
      </c>
      <c r="F13" s="24">
        <f>E13/E$14</f>
        <v>0.9488219768822814</v>
      </c>
      <c r="G13" s="24">
        <f>SUMIF($B$5:$B$11,$B13,G$5:G$11)</f>
        <v>0.3916753527183603</v>
      </c>
      <c r="H13" s="5">
        <f>(G13-FI_Target)*100</f>
        <v>-0.832464728163973</v>
      </c>
    </row>
    <row r="14" spans="1:8">
      <c r="A14" s="23" t="s">
        <v>144</v>
      </c>
      <c r="B14" s="23"/>
      <c r="C14" s="24">
        <f>SUM(C5:C11)</f>
        <v>1.0</v>
      </c>
      <c r="D14" s="4">
        <f>E14/100</f>
        <v>-0.005676684193404774</v>
      </c>
      <c r="E14" s="5">
        <f>SUM(E5:E11)</f>
        <v>-0.5676684193404774</v>
      </c>
      <c r="F14" s="24">
        <f>SUM(F5:F11)</f>
        <v>1.0</v>
      </c>
      <c r="G14" s="24">
        <f>SUM(G5:G11)</f>
        <v>1.0</v>
      </c>
      <c r="H14" s="23"/>
    </row>
    <row r="17" spans="1:7">
      <c r="A17" s="8" t="s">
        <v>162</v>
      </c>
    </row>
    <row r="18" spans="1:7">
      <c r="A18" s="10" t="s">
        <v>163</v>
      </c>
      <c r="B18" s="12">
        <f>E14/100</f>
        <v>-0.005676684193404774</v>
      </c>
    </row>
    <row r="19" spans="1:7">
      <c r="A19" s="10" t="s">
        <v>164</v>
      </c>
      <c r="B19" s="12">
        <f>Returns!AJ26</f>
        <v>-0.005676684193404835</v>
      </c>
    </row>
    <row r="20" spans="1:7">
      <c r="A20" s="10" t="s">
        <v>165</v>
      </c>
      <c r="B20" s="32">
        <f>ABS(B18-B19)</f>
        <v>6.071532165918825e-17</v>
      </c>
    </row>
    <row r="21" spans="1:7">
      <c r="A21" s="10" t="s">
        <v>166</v>
      </c>
      <c r="B21" s="32">
        <f>Tol</f>
        <v>1e-09</v>
      </c>
    </row>
    <row r="22" spans="1:7">
      <c r="A22" s="10" t="s">
        <v>167</v>
      </c>
      <c r="B22" s="26" t="str">
        <f>IF(B20&lt;=B21,"OK","CHECK")</f>
        <v>OK</v>
      </c>
    </row>
    <row r="24" spans="1:7">
      <c r="A24" s="8" t="s">
        <v>168</v>
      </c>
    </row>
    <row r="25" spans="1:7">
      <c r="A25" s="9" t="s">
        <v>169</v>
      </c>
      <c r="B25" s="3" t="s">
        <v>170</v>
      </c>
      <c r="C25" s="3" t="s">
        <v>171</v>
      </c>
      <c r="D25" s="3" t="s">
        <v>172</v>
      </c>
      <c r="E25" s="3" t="s">
        <v>173</v>
      </c>
      <c r="F25" s="3" t="s">
        <v>174</v>
      </c>
      <c r="G25" s="3" t="s">
        <v>175</v>
      </c>
    </row>
    <row r="26" spans="1:7">
      <c r="A26" s="10" t="s">
        <v>114</v>
      </c>
      <c r="B26" s="20">
        <f>Eq_Target</f>
        <v>0.6</v>
      </c>
      <c r="C26" s="20">
        <f>C12</f>
        <v>0.6051619018468396</v>
      </c>
      <c r="D26" s="20">
        <f>G12</f>
        <v>0.6083246472816397</v>
      </c>
      <c r="E26" s="21">
        <f>(D26-B26)*100</f>
        <v>0.832464728163973</v>
      </c>
      <c r="F26" s="33">
        <f>Class_Band</f>
        <v>2.0</v>
      </c>
      <c r="G26" s="10" t="str">
        <f>IF(ABS(E26)&lt;=F26,"Yes","No")</f>
        <v>Yes</v>
      </c>
    </row>
    <row r="27" spans="1:7">
      <c r="A27" s="10" t="s">
        <v>131</v>
      </c>
      <c r="B27" s="20">
        <f>FI_Target</f>
        <v>0.4</v>
      </c>
      <c r="C27" s="20">
        <f>C13</f>
        <v>0.3948380981531604</v>
      </c>
      <c r="D27" s="20">
        <f>G13</f>
        <v>0.3916753527183603</v>
      </c>
      <c r="E27" s="21">
        <f>(D27-B27)*100</f>
        <v>-0.832464728163973</v>
      </c>
      <c r="F27" s="33">
        <f>Class_Band</f>
        <v>2.0</v>
      </c>
      <c r="G27" s="10" t="str">
        <f>IF(ABS(E27)&lt;=F27,"Yes","No")</f>
        <v>Yes</v>
      </c>
    </row>
    <row r="30" spans="1:7">
      <c r="A30" s="8" t="s">
        <v>176</v>
      </c>
    </row>
    <row r="31" spans="1:7">
      <c r="A31" s="9" t="s">
        <v>100</v>
      </c>
      <c r="B31" s="9" t="s">
        <v>102</v>
      </c>
      <c r="C31" s="3" t="s">
        <v>160</v>
      </c>
    </row>
    <row r="32" spans="1:7">
      <c r="A32" s="10" t="str">
        <f>A5</f>
        <v>XIC</v>
      </c>
      <c r="B32" s="10" t="str">
        <f>B5</f>
        <v>Equity</v>
      </c>
      <c r="C32" s="21">
        <f>E5</f>
        <v>-0.5395143030824797</v>
      </c>
    </row>
    <row r="33" spans="1:3">
      <c r="A33" s="10" t="str">
        <f>A6</f>
        <v>XUU</v>
      </c>
      <c r="B33" s="10" t="str">
        <f>B6</f>
        <v>Equity</v>
      </c>
      <c r="C33" s="21">
        <f>E6</f>
        <v>0.4847791909213337</v>
      </c>
    </row>
    <row r="34" spans="1:3">
      <c r="A34" s="10" t="str">
        <f>A7</f>
        <v>XEF</v>
      </c>
      <c r="B34" s="10" t="str">
        <f>B7</f>
        <v>Equity</v>
      </c>
      <c r="C34" s="21">
        <f>E7</f>
        <v>-0.08088501796301972</v>
      </c>
    </row>
    <row r="35" spans="1:3">
      <c r="A35" s="10" t="str">
        <f>A8</f>
        <v>XEC</v>
      </c>
      <c r="B35" s="10" t="str">
        <f>B8</f>
        <v>Equity</v>
      </c>
      <c r="C35" s="21">
        <f>E8</f>
        <v>0.10656798263596003</v>
      </c>
    </row>
    <row r="36" spans="1:3">
      <c r="A36" s="10" t="str">
        <f>A9</f>
        <v>XBB</v>
      </c>
      <c r="B36" s="10" t="str">
        <f>B9</f>
        <v>Fixed income</v>
      </c>
      <c r="C36" s="21">
        <f>E9</f>
        <v>-0.311510509784479</v>
      </c>
    </row>
    <row r="37" spans="1:3">
      <c r="A37" s="10" t="str">
        <f>A10</f>
        <v>XSB</v>
      </c>
      <c r="B37" s="10" t="str">
        <f>B10</f>
        <v>Fixed income</v>
      </c>
      <c r="C37" s="21">
        <f>E10</f>
        <v>-0.07473542688315948</v>
      </c>
    </row>
    <row r="38" spans="1:3">
      <c r="A38" s="10" t="str">
        <f>A11</f>
        <v>XHY</v>
      </c>
      <c r="B38" s="10" t="str">
        <f>B11</f>
        <v>Fixed income</v>
      </c>
      <c r="C38" s="21">
        <f>E11</f>
        <v>-0.1523703351846333</v>
      </c>
    </row>
  </sheetData>
  <autoFilter ref="A4:H11"/>
  <pageMargins left="0.7" right="0.7" top="0.75" bottom="0.75" header="0.3" footer="0.3"/>
  <pageSetup paperSize="1" fitToHeight="0" orientation="landscape"/>
</worksheet>
</file>

<file path=xl/worksheets/sheet5.xml><?xml version="1.0" encoding="utf-8"?>
<worksheet xmlns="http://schemas.openxmlformats.org/spreadsheetml/2006/main" xmlns:r="http://schemas.openxmlformats.org/officeDocument/2006/relationships">
  <sheetPr>
    <tabColor rgb="FF15324F"/>
    <pageSetUpPr fitToPage="1"/>
  </sheetPr>
  <dimension ref="A1:D25"/>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8.7109375" customWidth="1"/>
    <col min="2" max="2" width="18.7109375" customWidth="1"/>
    <col min="3" max="3" width="12.7109375" customWidth="1"/>
    <col min="4" max="4" width="90.7109375" customWidth="1"/>
  </cols>
  <sheetData>
    <row r="1" spans="1:4">
      <c r="A1" s="1" t="s">
        <v>0</v>
      </c>
    </row>
    <row r="2" spans="1:4">
      <c r="A2" s="2" t="s">
        <v>1</v>
      </c>
    </row>
    <row r="4" spans="1:4">
      <c r="A4" s="9" t="s">
        <v>2</v>
      </c>
      <c r="B4" s="9" t="s">
        <v>3</v>
      </c>
      <c r="C4" s="9" t="s">
        <v>4</v>
      </c>
      <c r="D4" s="9" t="s">
        <v>5</v>
      </c>
    </row>
    <row r="5" spans="1:4">
      <c r="A5" s="10" t="s">
        <v>6</v>
      </c>
      <c r="B5" s="34" t="s">
        <v>7</v>
      </c>
      <c r="C5" s="10"/>
      <c r="D5" s="10" t="s">
        <v>8</v>
      </c>
    </row>
    <row r="6" spans="1:4">
      <c r="A6" s="10" t="s">
        <v>9</v>
      </c>
      <c r="B6" s="35">
        <v>46265</v>
      </c>
      <c r="C6" s="10" t="s">
        <v>10</v>
      </c>
      <c r="D6" s="10" t="s">
        <v>11</v>
      </c>
    </row>
    <row r="7" spans="1:4">
      <c r="A7" s="10" t="s">
        <v>12</v>
      </c>
      <c r="B7" s="35">
        <v>46295</v>
      </c>
      <c r="C7" s="10" t="s">
        <v>10</v>
      </c>
      <c r="D7" s="10" t="s">
        <v>13</v>
      </c>
    </row>
    <row r="8" spans="1:4">
      <c r="A8" s="10" t="s">
        <v>14</v>
      </c>
      <c r="B8" s="34" t="s">
        <v>15</v>
      </c>
      <c r="C8" s="10"/>
      <c r="D8" s="10" t="s">
        <v>16</v>
      </c>
    </row>
    <row r="9" spans="1:4">
      <c r="A9" s="10" t="s">
        <v>17</v>
      </c>
      <c r="B9" s="36">
        <v>101298.6890714979</v>
      </c>
      <c r="C9" s="10" t="s">
        <v>15</v>
      </c>
      <c r="D9" s="10" t="s">
        <v>18</v>
      </c>
    </row>
    <row r="10" spans="1:4">
      <c r="A10" s="10" t="s">
        <v>19</v>
      </c>
      <c r="B10" s="18">
        <v>0.6</v>
      </c>
      <c r="C10" s="10" t="s">
        <v>20</v>
      </c>
      <c r="D10" s="10" t="s">
        <v>21</v>
      </c>
    </row>
    <row r="11" spans="1:4">
      <c r="A11" s="10" t="s">
        <v>22</v>
      </c>
      <c r="B11" s="20">
        <f>1-B10</f>
        <v>0.4</v>
      </c>
      <c r="C11" s="10" t="s">
        <v>20</v>
      </c>
      <c r="D11" s="10" t="s">
        <v>23</v>
      </c>
    </row>
    <row r="12" spans="1:4">
      <c r="A12" s="10" t="s">
        <v>24</v>
      </c>
      <c r="B12" s="37">
        <v>2</v>
      </c>
      <c r="C12" s="10" t="s">
        <v>25</v>
      </c>
      <c r="D12" s="10" t="s">
        <v>26</v>
      </c>
    </row>
    <row r="13" spans="1:4">
      <c r="A13" s="10" t="s">
        <v>27</v>
      </c>
      <c r="B13" s="37">
        <v>1.5</v>
      </c>
      <c r="C13" s="10" t="s">
        <v>25</v>
      </c>
      <c r="D13" s="10" t="s">
        <v>28</v>
      </c>
    </row>
    <row r="14" spans="1:4">
      <c r="A14" s="10" t="s">
        <v>29</v>
      </c>
      <c r="B14" s="37">
        <v>0</v>
      </c>
      <c r="C14" s="10" t="s">
        <v>30</v>
      </c>
      <c r="D14" s="10" t="s">
        <v>31</v>
      </c>
    </row>
    <row r="15" spans="1:4">
      <c r="A15" s="10" t="s">
        <v>32</v>
      </c>
      <c r="B15" s="38">
        <v>1E-09</v>
      </c>
      <c r="C15" s="10" t="s">
        <v>33</v>
      </c>
      <c r="D15" s="10" t="s">
        <v>34</v>
      </c>
    </row>
    <row r="17" spans="1:4">
      <c r="A17" s="8" t="s">
        <v>35</v>
      </c>
    </row>
    <row r="18" spans="1:4" ht="44" customHeight="1">
      <c r="A18" s="22" t="s">
        <v>36</v>
      </c>
      <c r="B18" s="22" t="s">
        <v>37</v>
      </c>
      <c r="C18" s="22"/>
      <c r="D18" s="22"/>
    </row>
    <row r="19" spans="1:4" ht="44" customHeight="1">
      <c r="A19" s="22" t="s">
        <v>38</v>
      </c>
      <c r="B19" s="22" t="s">
        <v>39</v>
      </c>
      <c r="C19" s="22"/>
      <c r="D19" s="22"/>
    </row>
    <row r="20" spans="1:4" ht="44" customHeight="1">
      <c r="A20" s="22" t="s">
        <v>14</v>
      </c>
      <c r="B20" s="22" t="s">
        <v>40</v>
      </c>
      <c r="C20" s="22"/>
      <c r="D20" s="22"/>
    </row>
    <row r="21" spans="1:4" ht="44" customHeight="1">
      <c r="A21" s="22" t="s">
        <v>41</v>
      </c>
      <c r="B21" s="22" t="s">
        <v>42</v>
      </c>
      <c r="C21" s="22"/>
      <c r="D21" s="22"/>
    </row>
    <row r="22" spans="1:4" ht="44" customHeight="1">
      <c r="A22" s="22" t="s">
        <v>43</v>
      </c>
      <c r="B22" s="22" t="s">
        <v>44</v>
      </c>
      <c r="C22" s="22"/>
      <c r="D22" s="22"/>
    </row>
    <row r="23" spans="1:4" ht="44" customHeight="1">
      <c r="A23" s="22" t="s">
        <v>45</v>
      </c>
      <c r="B23" s="22" t="s">
        <v>46</v>
      </c>
      <c r="C23" s="22"/>
      <c r="D23" s="22"/>
    </row>
    <row r="24" spans="1:4" ht="44" customHeight="1">
      <c r="A24" s="22" t="s">
        <v>47</v>
      </c>
      <c r="B24" s="22" t="s">
        <v>48</v>
      </c>
      <c r="C24" s="22"/>
      <c r="D24" s="22"/>
    </row>
    <row r="25" spans="1:4" ht="44" customHeight="1">
      <c r="A25" s="22" t="s">
        <v>49</v>
      </c>
      <c r="B25" s="22" t="s">
        <v>50</v>
      </c>
      <c r="C25" s="22"/>
      <c r="D25" s="22"/>
    </row>
  </sheetData>
  <autoFilter ref="A4:D15"/>
  <mergeCells count="8">
    <mergeCell ref="B18:D18"/>
    <mergeCell ref="B19:D19"/>
    <mergeCell ref="B20:D20"/>
    <mergeCell ref="B21:D21"/>
    <mergeCell ref="B22:D22"/>
    <mergeCell ref="B23:D23"/>
    <mergeCell ref="B24:D24"/>
    <mergeCell ref="B25:D25"/>
  </mergeCells>
  <pageMargins left="0.7" right="0.7" top="0.75" bottom="0.75" header="0.3" footer="0.3"/>
  <pageSetup paperSize="1" fitToHeight="0" orientation="landscape"/>
</worksheet>
</file>

<file path=xl/worksheets/sheet6.xml><?xml version="1.0" encoding="utf-8"?>
<worksheet xmlns="http://schemas.openxmlformats.org/spreadsheetml/2006/main" xmlns:r="http://schemas.openxmlformats.org/officeDocument/2006/relationships">
  <sheetPr>
    <tabColor rgb="FF15324F"/>
    <pageSetUpPr fitToPage="1"/>
  </sheetPr>
  <dimension ref="A1:I34"/>
  <sheetViews>
    <sheetView showGridLines="0" workbookViewId="0">
      <pane ySplit="4" topLeftCell="A5" activePane="bottomLeft" state="frozen"/>
      <selection pane="bottomLeft"/>
    </sheetView>
  </sheetViews>
  <sheetFormatPr defaultRowHeight="15"/>
  <cols>
    <col min="1" max="1" width="6.7109375" customWidth="1"/>
    <col min="2" max="2" width="14.7109375" customWidth="1"/>
    <col min="3" max="3" width="30.7109375" customWidth="1"/>
    <col min="4" max="4" width="48.7109375" customWidth="1"/>
    <col min="5" max="5" width="62.7109375" customWidth="1"/>
    <col min="6" max="6" width="26.7109375" customWidth="1"/>
    <col min="7" max="7" width="12.7109375" customWidth="1"/>
    <col min="8" max="8" width="40.7109375" customWidth="1"/>
    <col min="9" max="9" width="18.7109375" customWidth="1"/>
  </cols>
  <sheetData>
    <row r="1" spans="1:9">
      <c r="A1" s="1" t="s">
        <v>198</v>
      </c>
    </row>
    <row r="2" spans="1:9">
      <c r="A2" s="2" t="s">
        <v>199</v>
      </c>
    </row>
    <row r="4" spans="1:9">
      <c r="A4" s="9" t="s">
        <v>200</v>
      </c>
      <c r="B4" s="9" t="s">
        <v>201</v>
      </c>
      <c r="C4" s="9" t="s">
        <v>202</v>
      </c>
      <c r="D4" s="9" t="s">
        <v>203</v>
      </c>
      <c r="E4" s="9" t="s">
        <v>204</v>
      </c>
      <c r="F4" s="9" t="s">
        <v>205</v>
      </c>
      <c r="G4" s="9" t="s">
        <v>206</v>
      </c>
      <c r="H4" s="9" t="s">
        <v>207</v>
      </c>
      <c r="I4" s="9" t="s">
        <v>208</v>
      </c>
    </row>
    <row r="5" spans="1:9">
      <c r="A5" s="10">
        <v>3</v>
      </c>
      <c r="B5" s="10" t="s">
        <v>209</v>
      </c>
      <c r="C5" s="10" t="s">
        <v>210</v>
      </c>
      <c r="D5" s="10" t="s">
        <v>211</v>
      </c>
      <c r="E5" s="39" t="s">
        <v>212</v>
      </c>
      <c r="F5" s="10" t="s">
        <v>213</v>
      </c>
      <c r="G5" s="10" t="s">
        <v>214</v>
      </c>
      <c r="H5" s="10" t="s">
        <v>215</v>
      </c>
      <c r="I5" s="10" t="s">
        <v>216</v>
      </c>
    </row>
    <row r="6" spans="1:9">
      <c r="A6" s="10">
        <v>4</v>
      </c>
      <c r="B6" s="10" t="s">
        <v>209</v>
      </c>
      <c r="C6" s="10" t="s">
        <v>217</v>
      </c>
      <c r="D6" s="10" t="s">
        <v>218</v>
      </c>
      <c r="E6" s="39" t="s">
        <v>219</v>
      </c>
      <c r="F6" s="10" t="s">
        <v>220</v>
      </c>
      <c r="G6" s="10" t="s">
        <v>214</v>
      </c>
      <c r="H6" s="10" t="s">
        <v>221</v>
      </c>
      <c r="I6" s="10" t="s">
        <v>222</v>
      </c>
    </row>
    <row r="7" spans="1:9">
      <c r="A7" s="10">
        <v>5</v>
      </c>
      <c r="B7" s="10" t="s">
        <v>209</v>
      </c>
      <c r="C7" s="10" t="s">
        <v>223</v>
      </c>
      <c r="D7" s="10" t="s">
        <v>224</v>
      </c>
      <c r="E7" s="39" t="s">
        <v>225</v>
      </c>
      <c r="F7" s="10" t="s">
        <v>226</v>
      </c>
      <c r="G7" s="10" t="s">
        <v>214</v>
      </c>
      <c r="H7" s="10" t="s">
        <v>227</v>
      </c>
      <c r="I7" s="10" t="s">
        <v>228</v>
      </c>
    </row>
    <row r="8" spans="1:9">
      <c r="A8" s="10">
        <v>1</v>
      </c>
      <c r="B8" s="10" t="s">
        <v>229</v>
      </c>
      <c r="C8" s="10" t="s">
        <v>230</v>
      </c>
      <c r="D8" s="10" t="s">
        <v>231</v>
      </c>
      <c r="E8" s="39" t="s">
        <v>232</v>
      </c>
      <c r="F8" s="10" t="s">
        <v>233</v>
      </c>
      <c r="G8" s="10" t="s">
        <v>214</v>
      </c>
      <c r="H8" s="10" t="s">
        <v>234</v>
      </c>
      <c r="I8" s="10" t="s">
        <v>235</v>
      </c>
    </row>
    <row r="9" spans="1:9">
      <c r="A9" s="10">
        <v>1</v>
      </c>
      <c r="B9" s="10" t="s">
        <v>229</v>
      </c>
      <c r="C9" s="10" t="s">
        <v>230</v>
      </c>
      <c r="D9" s="10" t="s">
        <v>236</v>
      </c>
      <c r="E9" s="39" t="s">
        <v>237</v>
      </c>
      <c r="F9" s="10" t="s">
        <v>233</v>
      </c>
      <c r="G9" s="10" t="s">
        <v>214</v>
      </c>
      <c r="H9" s="10" t="s">
        <v>238</v>
      </c>
      <c r="I9" s="10" t="s">
        <v>239</v>
      </c>
    </row>
    <row r="10" spans="1:9">
      <c r="A10" s="10">
        <v>1</v>
      </c>
      <c r="B10" s="10" t="s">
        <v>229</v>
      </c>
      <c r="C10" s="10" t="s">
        <v>230</v>
      </c>
      <c r="D10" s="10" t="s">
        <v>240</v>
      </c>
      <c r="E10" s="39" t="s">
        <v>241</v>
      </c>
      <c r="F10" s="10" t="s">
        <v>233</v>
      </c>
      <c r="G10" s="10" t="s">
        <v>214</v>
      </c>
      <c r="H10" s="10" t="s">
        <v>242</v>
      </c>
      <c r="I10" s="10" t="s">
        <v>243</v>
      </c>
    </row>
    <row r="11" spans="1:9">
      <c r="A11" s="10">
        <v>1</v>
      </c>
      <c r="B11" s="10" t="s">
        <v>229</v>
      </c>
      <c r="C11" s="10" t="s">
        <v>230</v>
      </c>
      <c r="D11" s="10" t="s">
        <v>244</v>
      </c>
      <c r="E11" s="39" t="s">
        <v>245</v>
      </c>
      <c r="F11" s="10" t="s">
        <v>233</v>
      </c>
      <c r="G11" s="10" t="s">
        <v>214</v>
      </c>
      <c r="H11" s="10" t="s">
        <v>246</v>
      </c>
      <c r="I11" s="10" t="s">
        <v>247</v>
      </c>
    </row>
    <row r="12" spans="1:9">
      <c r="A12" s="10">
        <v>1</v>
      </c>
      <c r="B12" s="10" t="s">
        <v>229</v>
      </c>
      <c r="C12" s="10" t="s">
        <v>230</v>
      </c>
      <c r="D12" s="10" t="s">
        <v>248</v>
      </c>
      <c r="E12" s="39" t="s">
        <v>249</v>
      </c>
      <c r="F12" s="10" t="s">
        <v>233</v>
      </c>
      <c r="G12" s="10" t="s">
        <v>214</v>
      </c>
      <c r="H12" s="10" t="s">
        <v>250</v>
      </c>
      <c r="I12" s="10" t="s">
        <v>251</v>
      </c>
    </row>
    <row r="13" spans="1:9">
      <c r="A13" s="10">
        <v>1</v>
      </c>
      <c r="B13" s="10" t="s">
        <v>229</v>
      </c>
      <c r="C13" s="10" t="s">
        <v>230</v>
      </c>
      <c r="D13" s="10" t="s">
        <v>252</v>
      </c>
      <c r="E13" s="39" t="s">
        <v>253</v>
      </c>
      <c r="F13" s="10" t="s">
        <v>233</v>
      </c>
      <c r="G13" s="10" t="s">
        <v>214</v>
      </c>
      <c r="H13" s="10" t="s">
        <v>254</v>
      </c>
      <c r="I13" s="10" t="s">
        <v>255</v>
      </c>
    </row>
    <row r="14" spans="1:9">
      <c r="A14" s="10">
        <v>1</v>
      </c>
      <c r="B14" s="10" t="s">
        <v>229</v>
      </c>
      <c r="C14" s="10" t="s">
        <v>230</v>
      </c>
      <c r="D14" s="10" t="s">
        <v>256</v>
      </c>
      <c r="E14" s="39" t="s">
        <v>257</v>
      </c>
      <c r="F14" s="10" t="s">
        <v>233</v>
      </c>
      <c r="G14" s="10" t="s">
        <v>214</v>
      </c>
      <c r="H14" s="10" t="s">
        <v>258</v>
      </c>
      <c r="I14" s="10" t="s">
        <v>259</v>
      </c>
    </row>
    <row r="15" spans="1:9">
      <c r="A15" s="10">
        <v>1</v>
      </c>
      <c r="B15" s="10" t="s">
        <v>229</v>
      </c>
      <c r="C15" s="10" t="s">
        <v>230</v>
      </c>
      <c r="D15" s="10" t="s">
        <v>260</v>
      </c>
      <c r="E15" s="39" t="s">
        <v>261</v>
      </c>
      <c r="F15" s="10" t="s">
        <v>233</v>
      </c>
      <c r="G15" s="10" t="s">
        <v>214</v>
      </c>
      <c r="H15" s="10" t="s">
        <v>262</v>
      </c>
      <c r="I15" s="10" t="s">
        <v>263</v>
      </c>
    </row>
    <row r="16" spans="1:9">
      <c r="A16" s="10">
        <v>2</v>
      </c>
      <c r="B16" s="10" t="s">
        <v>264</v>
      </c>
      <c r="C16" s="10" t="s">
        <v>265</v>
      </c>
      <c r="D16" s="10" t="s">
        <v>266</v>
      </c>
      <c r="E16" s="39" t="s">
        <v>267</v>
      </c>
      <c r="F16" s="10" t="s">
        <v>268</v>
      </c>
      <c r="G16" s="10" t="s">
        <v>214</v>
      </c>
      <c r="H16" s="10" t="s">
        <v>269</v>
      </c>
      <c r="I16" s="10" t="s">
        <v>270</v>
      </c>
    </row>
    <row r="17" spans="1:9">
      <c r="A17" s="10">
        <v>2</v>
      </c>
      <c r="B17" s="10" t="s">
        <v>264</v>
      </c>
      <c r="C17" s="10" t="s">
        <v>265</v>
      </c>
      <c r="D17" s="10" t="s">
        <v>271</v>
      </c>
      <c r="E17" s="39" t="s">
        <v>272</v>
      </c>
      <c r="F17" s="10" t="s">
        <v>268</v>
      </c>
      <c r="G17" s="10" t="s">
        <v>214</v>
      </c>
      <c r="H17" s="10" t="s">
        <v>273</v>
      </c>
      <c r="I17" s="10" t="s">
        <v>274</v>
      </c>
    </row>
    <row r="18" spans="1:9">
      <c r="A18" s="10">
        <v>2</v>
      </c>
      <c r="B18" s="10" t="s">
        <v>264</v>
      </c>
      <c r="C18" s="10" t="s">
        <v>265</v>
      </c>
      <c r="D18" s="10" t="s">
        <v>275</v>
      </c>
      <c r="E18" s="39" t="s">
        <v>276</v>
      </c>
      <c r="F18" s="10" t="s">
        <v>268</v>
      </c>
      <c r="G18" s="10" t="s">
        <v>214</v>
      </c>
      <c r="H18" s="10" t="s">
        <v>277</v>
      </c>
      <c r="I18" s="10" t="s">
        <v>278</v>
      </c>
    </row>
    <row r="19" spans="1:9">
      <c r="A19" s="10">
        <v>2</v>
      </c>
      <c r="B19" s="10" t="s">
        <v>264</v>
      </c>
      <c r="C19" s="10" t="s">
        <v>265</v>
      </c>
      <c r="D19" s="10" t="s">
        <v>279</v>
      </c>
      <c r="E19" s="39" t="s">
        <v>280</v>
      </c>
      <c r="F19" s="10" t="s">
        <v>268</v>
      </c>
      <c r="G19" s="10" t="s">
        <v>214</v>
      </c>
      <c r="H19" s="10" t="s">
        <v>281</v>
      </c>
      <c r="I19" s="10" t="s">
        <v>282</v>
      </c>
    </row>
    <row r="20" spans="1:9">
      <c r="A20" s="10">
        <v>6</v>
      </c>
      <c r="B20" s="10" t="s">
        <v>209</v>
      </c>
      <c r="C20" s="10" t="s">
        <v>283</v>
      </c>
      <c r="D20" s="10" t="s">
        <v>284</v>
      </c>
      <c r="E20" s="39" t="s">
        <v>285</v>
      </c>
      <c r="F20" s="10" t="s">
        <v>286</v>
      </c>
      <c r="G20" s="10" t="s">
        <v>214</v>
      </c>
      <c r="H20" s="10" t="s">
        <v>287</v>
      </c>
      <c r="I20" s="10" t="s">
        <v>288</v>
      </c>
    </row>
    <row r="21" spans="1:9">
      <c r="A21" s="10">
        <v>6</v>
      </c>
      <c r="B21" s="10" t="s">
        <v>209</v>
      </c>
      <c r="C21" s="10" t="s">
        <v>283</v>
      </c>
      <c r="D21" s="10" t="s">
        <v>289</v>
      </c>
      <c r="E21" s="39" t="s">
        <v>290</v>
      </c>
      <c r="F21" s="10" t="s">
        <v>286</v>
      </c>
      <c r="G21" s="10" t="s">
        <v>214</v>
      </c>
      <c r="H21" s="10" t="s">
        <v>291</v>
      </c>
      <c r="I21" s="10" t="s">
        <v>292</v>
      </c>
    </row>
    <row r="22" spans="1:9">
      <c r="A22" s="10">
        <v>6</v>
      </c>
      <c r="B22" s="10" t="s">
        <v>209</v>
      </c>
      <c r="C22" s="10" t="s">
        <v>283</v>
      </c>
      <c r="D22" s="10" t="s">
        <v>293</v>
      </c>
      <c r="E22" s="39" t="s">
        <v>294</v>
      </c>
      <c r="F22" s="10" t="s">
        <v>286</v>
      </c>
      <c r="G22" s="10" t="s">
        <v>214</v>
      </c>
      <c r="H22" s="10" t="s">
        <v>295</v>
      </c>
      <c r="I22" s="10" t="s">
        <v>296</v>
      </c>
    </row>
    <row r="23" spans="1:9">
      <c r="A23" s="10">
        <v>6</v>
      </c>
      <c r="B23" s="10" t="s">
        <v>209</v>
      </c>
      <c r="C23" s="10" t="s">
        <v>283</v>
      </c>
      <c r="D23" s="10" t="s">
        <v>297</v>
      </c>
      <c r="E23" s="39" t="s">
        <v>298</v>
      </c>
      <c r="F23" s="10" t="s">
        <v>286</v>
      </c>
      <c r="G23" s="10" t="s">
        <v>214</v>
      </c>
      <c r="H23" s="10" t="s">
        <v>299</v>
      </c>
      <c r="I23" s="10" t="s">
        <v>300</v>
      </c>
    </row>
    <row r="24" spans="1:9">
      <c r="A24" s="10">
        <v>6</v>
      </c>
      <c r="B24" s="10" t="s">
        <v>209</v>
      </c>
      <c r="C24" s="10" t="s">
        <v>283</v>
      </c>
      <c r="D24" s="10" t="s">
        <v>301</v>
      </c>
      <c r="E24" s="39" t="s">
        <v>302</v>
      </c>
      <c r="F24" s="10" t="s">
        <v>286</v>
      </c>
      <c r="G24" s="10" t="s">
        <v>214</v>
      </c>
      <c r="H24" s="10" t="s">
        <v>303</v>
      </c>
      <c r="I24" s="10" t="s">
        <v>304</v>
      </c>
    </row>
    <row r="25" spans="1:9">
      <c r="A25" s="10">
        <v>6</v>
      </c>
      <c r="B25" s="10" t="s">
        <v>209</v>
      </c>
      <c r="C25" s="10" t="s">
        <v>283</v>
      </c>
      <c r="D25" s="10" t="s">
        <v>305</v>
      </c>
      <c r="E25" s="39" t="s">
        <v>306</v>
      </c>
      <c r="F25" s="10" t="s">
        <v>286</v>
      </c>
      <c r="G25" s="10" t="s">
        <v>214</v>
      </c>
      <c r="H25" s="10" t="s">
        <v>307</v>
      </c>
      <c r="I25" s="10" t="s">
        <v>308</v>
      </c>
    </row>
    <row r="26" spans="1:9">
      <c r="A26" s="10">
        <v>6</v>
      </c>
      <c r="B26" s="10" t="s">
        <v>209</v>
      </c>
      <c r="C26" s="10" t="s">
        <v>283</v>
      </c>
      <c r="D26" s="10" t="s">
        <v>309</v>
      </c>
      <c r="E26" s="39" t="s">
        <v>310</v>
      </c>
      <c r="F26" s="10" t="s">
        <v>286</v>
      </c>
      <c r="G26" s="10" t="s">
        <v>214</v>
      </c>
      <c r="H26" s="10" t="s">
        <v>311</v>
      </c>
      <c r="I26" s="10" t="s">
        <v>312</v>
      </c>
    </row>
    <row r="27" spans="1:9">
      <c r="A27" s="10">
        <v>6</v>
      </c>
      <c r="B27" s="10" t="s">
        <v>209</v>
      </c>
      <c r="C27" s="10" t="s">
        <v>283</v>
      </c>
      <c r="D27" s="10" t="s">
        <v>313</v>
      </c>
      <c r="E27" s="39" t="s">
        <v>314</v>
      </c>
      <c r="F27" s="10" t="s">
        <v>286</v>
      </c>
      <c r="G27" s="10" t="s">
        <v>214</v>
      </c>
      <c r="H27" s="10" t="s">
        <v>315</v>
      </c>
      <c r="I27" s="10" t="s">
        <v>316</v>
      </c>
    </row>
    <row r="29" spans="1:9">
      <c r="A29" s="8" t="s">
        <v>317</v>
      </c>
    </row>
    <row r="30" spans="1:9">
      <c r="A30" s="10" t="s">
        <v>318</v>
      </c>
    </row>
    <row r="31" spans="1:9">
      <c r="A31" s="10" t="s">
        <v>319</v>
      </c>
    </row>
    <row r="32" spans="1:9">
      <c r="A32" s="10" t="s">
        <v>320</v>
      </c>
    </row>
    <row r="34" spans="1:1">
      <c r="A34" s="17" t="s">
        <v>321</v>
      </c>
    </row>
  </sheetData>
  <autoFilter ref="A4:I27"/>
  <hyperlinks>
    <hyperlink ref="E5" r:id="rId1"/>
    <hyperlink ref="E6" r:id="rId2"/>
    <hyperlink ref="E7" r:id="rId3"/>
    <hyperlink ref="E8" r:id="rId4"/>
    <hyperlink ref="E9" r:id="rId5"/>
    <hyperlink ref="E10" r:id="rId6"/>
    <hyperlink ref="E11" r:id="rId7"/>
    <hyperlink ref="E12" r:id="rId8"/>
    <hyperlink ref="E13" r:id="rId9"/>
    <hyperlink ref="E14" r:id="rId10"/>
    <hyperlink ref="E15" r:id="rId11"/>
    <hyperlink ref="E16" r:id="rId12"/>
    <hyperlink ref="E17" r:id="rId13"/>
    <hyperlink ref="E18" r:id="rId14"/>
    <hyperlink ref="E19" r:id="rId15"/>
    <hyperlink ref="E20" r:id="rId16"/>
    <hyperlink ref="E21" r:id="rId17"/>
    <hyperlink ref="E22" r:id="rId18"/>
    <hyperlink ref="E23" r:id="rId19"/>
    <hyperlink ref="E24" r:id="rId20"/>
    <hyperlink ref="E25" r:id="rId21"/>
    <hyperlink ref="E26" r:id="rId22"/>
    <hyperlink ref="E27" r:id="rId23"/>
  </hyperlinks>
  <pageMargins left="0.7" right="0.7" top="0.75" bottom="0.75" header="0.3" footer="0.3"/>
  <pageSetup paperSize="1"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Overview</vt:lpstr>
      <vt:lpstr>Holdings</vt:lpstr>
      <vt:lpstr>Returns</vt:lpstr>
      <vt:lpstr>Contributions</vt:lpstr>
      <vt:lpstr>Assumptions</vt:lpstr>
      <vt:lpstr>Sources</vt:lpstr>
      <vt:lpstr>Class_Band</vt:lpstr>
      <vt:lpstr>Cost_bps</vt:lpstr>
      <vt:lpstr>Eq_Target</vt:lpstr>
      <vt:lpstr>FI_Target</vt:lpstr>
      <vt:lpstr>Hold_Band</vt:lpstr>
      <vt:lpstr>Start_Value</vt:lpstr>
      <vt:lpstr>Tol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Market &amp; Portfolio Report workbook, September 2026</dc:title>
  <dc:subject>Independent educational research sample</dc:subject>
  <dc:creator>Independent educational research sample</dc:creator>
  <dc:description>Hypothetical portfolio. Not investment advice.</dc:description>
  <cp:lastModifiedBy>Independent educational research sample</cp:lastModifiedBy>
  <dcterms:created xsi:type="dcterms:W3CDTF">2026-10-14T23:59:14Z</dcterms:created>
  <dcterms:modified xsi:type="dcterms:W3CDTF">2026-10-14T23:59:14Z</dcterms:modified>
</cp:coreProperties>
</file>